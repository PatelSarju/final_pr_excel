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development\Excel\Final Project\"/>
    </mc:Choice>
  </mc:AlternateContent>
  <xr:revisionPtr revIDLastSave="0" documentId="13_ncr:1_{AA0EFC8C-D28E-4FFE-890C-9F68D7E31A05}" xr6:coauthVersionLast="47" xr6:coauthVersionMax="47" xr10:uidLastSave="{00000000-0000-0000-0000-000000000000}"/>
  <bookViews>
    <workbookView xWindow="-108" yWindow="-108" windowWidth="23256" windowHeight="12456" xr2:uid="{00000000-000D-0000-FFFF-FFFF00000000}"/>
  </bookViews>
  <sheets>
    <sheet name="Dashboard" sheetId="9" r:id="rId1"/>
    <sheet name="Project Instructions" sheetId="1" r:id="rId2"/>
    <sheet name="Final Project Dataset" sheetId="2" r:id="rId3"/>
    <sheet name="Analysis" sheetId="3" r:id="rId4"/>
    <sheet name="Total Revenue Charts" sheetId="5" r:id="rId5"/>
    <sheet name="Top Customers Charts" sheetId="6" r:id="rId6"/>
    <sheet name="Most Sold Products Charts" sheetId="8" r:id="rId7"/>
  </sheets>
  <definedNames>
    <definedName name="NativeTimeline_Date">#N/A</definedName>
    <definedName name="Slicer_Category">#N/A</definedName>
    <definedName name="Slicer_Customer_Name">#N/A</definedName>
    <definedName name="Slicer_Payment_Method">#N/A</definedName>
    <definedName name="Slicer_Product_Name">#N/A</definedName>
    <definedName name="Slicer_Region">#N/A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3" l="1" a="1"/>
  <c r="E52" i="3" s="1"/>
  <c r="E48" i="3" a="1"/>
  <c r="E48" i="3" s="1"/>
  <c r="E45" i="3" a="1"/>
  <c r="E45" i="3" s="1"/>
  <c r="E11" i="3" l="1" a="1"/>
  <c r="E11" i="3" s="1"/>
  <c r="E6" i="3" a="1"/>
  <c r="E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<sst xmlns="http://schemas.openxmlformats.org/spreadsheetml/2006/main" count="2649" uniqueCount="479">
  <si>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</si>
  <si>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</si>
  <si>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</si>
  <si>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</si>
  <si>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</si>
  <si>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</si>
  <si>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</si>
  <si>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</si>
  <si>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</si>
  <si>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</si>
  <si>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</si>
  <si>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</si>
  <si>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</si>
  <si>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</si>
  <si>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</si>
  <si>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</si>
  <si>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</si>
  <si>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</si>
  <si>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</si>
  <si>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</si>
  <si>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</si>
  <si>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</si>
  <si>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</si>
  <si>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</si>
  <si>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</si>
  <si>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</si>
  <si>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</si>
  <si>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</si>
  <si>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</si>
  <si>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</si>
  <si>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</si>
  <si>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</si>
  <si>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</si>
  <si>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</si>
  <si>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</si>
  <si>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</si>
  <si>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</si>
  <si>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</si>
  <si>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</si>
  <si>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</si>
  <si>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</si>
  <si>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</si>
  <si>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</si>
  <si>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</si>
  <si>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</si>
  <si>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</si>
  <si>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</si>
  <si>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</si>
  <si>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</si>
  <si>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</si>
  <si>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</si>
  <si>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</si>
  <si>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</si>
  <si>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</si>
  <si>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</si>
  <si>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</si>
  <si>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</si>
  <si>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</si>
  <si>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</si>
  <si>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</si>
  <si>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</si>
  <si>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</si>
  <si>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</si>
  <si>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</si>
  <si>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</si>
  <si>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</si>
  <si>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</si>
  <si>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</si>
  <si>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</si>
  <si>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</si>
  <si>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</si>
  <si>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</si>
  <si>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</si>
  <si>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</si>
  <si>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</si>
  <si>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</si>
  <si>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</si>
  <si>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</si>
  <si>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</si>
  <si>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</si>
  <si>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</si>
  <si>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</si>
  <si>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</si>
  <si>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</si>
  <si>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</si>
  <si>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</si>
  <si>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</si>
  <si>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</si>
  <si>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</si>
  <si>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</si>
  <si>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</si>
  <si>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</si>
  <si>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</si>
  <si>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</si>
  <si>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</si>
  <si>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</si>
  <si>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</si>
  <si>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</si>
  <si>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</si>
  <si>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</si>
  <si>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</si>
  <si>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</si>
  <si>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</si>
  <si>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</si>
  <si>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</si>
  <si>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</si>
  <si>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</si>
  <si>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</si>
  <si>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</si>
  <si>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</si>
  <si>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</si>
  <si>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</si>
  <si>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</si>
  <si>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</si>
  <si>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</si>
  <si>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</si>
  <si>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</si>
  <si>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</si>
  <si>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</si>
  <si>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</si>
  <si>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</si>
  <si>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</si>
  <si>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</si>
  <si>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</si>
  <si>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</si>
  <si>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</si>
  <si>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</si>
  <si>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</si>
  <si>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</si>
  <si>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</si>
  <si>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</si>
  <si>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</si>
  <si>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</si>
  <si>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</si>
  <si>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</si>
  <si>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</si>
  <si>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</si>
  <si>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</si>
  <si>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</si>
  <si>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</si>
  <si>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</si>
  <si>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</si>
  <si>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</si>
  <si>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</si>
  <si>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</si>
  <si>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</si>
  <si>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</si>
  <si>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</si>
  <si>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</si>
  <si>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</si>
  <si>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</si>
  <si>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</si>
  <si>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</si>
  <si>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</si>
  <si>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</si>
  <si>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</si>
  <si>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</si>
  <si>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</si>
  <si>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</si>
  <si>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</si>
  <si>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</si>
  <si>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</si>
  <si>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</si>
  <si>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</si>
  <si>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</si>
  <si>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</si>
  <si>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</si>
  <si>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</si>
  <si>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</si>
  <si>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</si>
  <si>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</si>
  <si>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</si>
  <si>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</si>
  <si>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</si>
  <si>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</si>
  <si>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</si>
  <si>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</si>
  <si>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</si>
  <si>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</si>
  <si>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</si>
  <si>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</si>
  <si>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</si>
  <si>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</si>
  <si>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</si>
  <si>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</si>
  <si>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</si>
  <si>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</si>
  <si>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</si>
  <si>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</si>
  <si>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</si>
  <si>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</si>
  <si>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</si>
  <si>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</si>
  <si>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</si>
  <si>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</si>
  <si>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</si>
  <si>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</si>
  <si>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</si>
  <si>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</si>
  <si>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</si>
  <si>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</si>
  <si>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</si>
  <si>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</si>
  <si>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</si>
  <si>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</si>
  <si>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</si>
  <si>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</si>
  <si>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</si>
  <si>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</si>
  <si>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</si>
  <si>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</si>
  <si>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</si>
  <si>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</si>
  <si>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</si>
  <si>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</si>
  <si>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</si>
  <si>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</si>
  <si>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</si>
  <si>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</si>
  <si>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</si>
  <si>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</si>
  <si>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</si>
  <si>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</si>
  <si>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</si>
  <si>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</si>
  <si>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</si>
  <si>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</si>
  <si>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</si>
  <si>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</si>
  <si>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</si>
  <si>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</si>
  <si>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</si>
  <si>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</si>
  <si>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</si>
  <si>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</si>
  <si>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</si>
  <si>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</si>
  <si>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</si>
  <si>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</si>
  <si>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</si>
  <si>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</si>
  <si>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</si>
  <si>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</si>
  <si>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</si>
  <si>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</si>
  <si>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</si>
  <si>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</si>
  <si>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</si>
  <si>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</si>
  <si>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</si>
  <si>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</si>
  <si>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</si>
  <si>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</si>
  <si>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</si>
  <si>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</si>
  <si>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</si>
  <si>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</si>
  <si>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</si>
  <si>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</si>
  <si>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</si>
  <si>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</si>
  <si>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</si>
  <si>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</si>
  <si>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</si>
  <si>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</si>
  <si>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</si>
  <si>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</si>
  <si>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</si>
  <si>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</si>
  <si>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</si>
  <si>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</si>
  <si>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</si>
  <si>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</si>
  <si>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</si>
  <si>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</si>
  <si>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</si>
  <si>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</si>
  <si>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</si>
  <si>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</si>
  <si>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</si>
  <si>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</si>
  <si>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</si>
  <si>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</si>
  <si>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</si>
  <si>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</si>
  <si>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</si>
  <si>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</si>
  <si>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</si>
  <si>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</si>
  <si>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</si>
  <si>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</si>
  <si>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</si>
  <si>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</si>
  <si>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</si>
  <si>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</si>
  <si>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</si>
  <si>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</si>
  <si>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</si>
  <si>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</si>
  <si>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</si>
  <si>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</si>
  <si>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</si>
  <si>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</si>
  <si>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</si>
  <si>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</si>
  <si>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</si>
  <si>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</si>
  <si>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</si>
  <si>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</si>
  <si>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</si>
  <si>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</si>
  <si>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</si>
  <si>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</si>
  <si>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</si>
  <si>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</si>
  <si>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</si>
  <si>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</si>
  <si>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</si>
  <si>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</si>
  <si>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</si>
  <si>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</si>
  <si>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</si>
  <si>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</si>
  <si>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</si>
  <si>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</si>
  <si>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</si>
  <si>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</si>
  <si>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</si>
  <si>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</si>
  <si>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</si>
  <si>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</si>
  <si>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</si>
  <si>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</si>
  <si>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</si>
  <si>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</si>
  <si>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</si>
  <si>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</si>
  <si>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</si>
  <si>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</si>
  <si>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</si>
  <si>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</si>
  <si>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</si>
  <si>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</si>
  <si>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</si>
  <si>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</si>
  <si>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</si>
  <si>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</si>
  <si>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</si>
  <si>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</si>
  <si>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</si>
  <si>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</si>
  <si>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</si>
  <si>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</si>
  <si>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</si>
  <si>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</si>
  <si>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</si>
  <si>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</si>
  <si>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</si>
  <si>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</si>
  <si>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</si>
  <si>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</si>
  <si>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</si>
  <si>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</si>
  <si>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</si>
  <si>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</si>
  <si>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</si>
  <si>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</si>
  <si>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</si>
  <si>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</si>
  <si>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</si>
  <si>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</si>
  <si>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</si>
  <si>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</si>
  <si>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</si>
  <si>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</si>
  <si>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</si>
  <si>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</si>
  <si>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</si>
  <si>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</si>
  <si>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</si>
  <si>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</si>
  <si>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</si>
  <si>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</si>
  <si>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</si>
  <si>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</si>
  <si>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</si>
  <si>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</si>
  <si>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</si>
  <si>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</si>
  <si>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</si>
  <si>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</si>
  <si>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</si>
  <si>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</si>
  <si>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</si>
  <si>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</si>
  <si>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</si>
  <si>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</si>
  <si>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</si>
  <si>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</si>
  <si>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</si>
  <si>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</si>
  <si>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 &amp; Time functions</t>
  </si>
  <si>
    <t>Product Category</t>
  </si>
  <si>
    <t>Filter Function</t>
  </si>
  <si>
    <t>Conditional Formatting</t>
  </si>
  <si>
    <t>Total Sales</t>
  </si>
  <si>
    <t>What-IF Analysis</t>
  </si>
  <si>
    <t>Linear Regression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</si>
  <si>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</si>
  <si>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</si>
  <si>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</si>
  <si>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</si>
  <si>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</si>
  <si>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</si>
  <si>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</si>
  <si>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</si>
  <si>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</si>
  <si>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</si>
  <si>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</si>
  <si>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</si>
  <si>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</si>
  <si>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</si>
  <si>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</si>
  <si>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</si>
  <si>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</si>
  <si>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</si>
  <si>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</si>
  <si>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</si>
  <si>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</si>
  <si>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</si>
  <si>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</si>
  <si>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</si>
  <si>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</si>
  <si>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X Variable 2</t>
  </si>
  <si>
    <t>variable x</t>
  </si>
  <si>
    <t>variable y</t>
  </si>
  <si>
    <t>total sales</t>
  </si>
  <si>
    <t>quantity + unit price</t>
  </si>
  <si>
    <t>High Value Customer</t>
  </si>
  <si>
    <t>Frequently Purchased Product</t>
  </si>
  <si>
    <t>Compare two lists</t>
  </si>
  <si>
    <t>Perform Abbreviation</t>
  </si>
  <si>
    <t>Grand Total</t>
  </si>
  <si>
    <t>Sum of Total_Amount</t>
  </si>
  <si>
    <t>Years (Date)</t>
  </si>
  <si>
    <t>Months (Date)</t>
  </si>
  <si>
    <t>2024</t>
  </si>
  <si>
    <t>2025</t>
  </si>
  <si>
    <t>Total Revenue Pivot tables and charts</t>
  </si>
  <si>
    <t>Apr</t>
  </si>
  <si>
    <t>May</t>
  </si>
  <si>
    <t>Jun</t>
  </si>
  <si>
    <t>Jul</t>
  </si>
  <si>
    <t>Aug</t>
  </si>
  <si>
    <t>Sep</t>
  </si>
  <si>
    <t>Oct</t>
  </si>
  <si>
    <t>Nov</t>
  </si>
  <si>
    <t>Dec</t>
  </si>
  <si>
    <t>2024 Total</t>
  </si>
  <si>
    <t>Jan</t>
  </si>
  <si>
    <t>Feb</t>
  </si>
  <si>
    <t>Mar</t>
  </si>
  <si>
    <t>2025 Total</t>
  </si>
  <si>
    <t>Top Customers Pivot tables and charts</t>
  </si>
  <si>
    <t>Count of Customer_Segment</t>
  </si>
  <si>
    <t>Premium Total</t>
  </si>
  <si>
    <t>Standard Total</t>
  </si>
  <si>
    <t>Basic Total</t>
  </si>
  <si>
    <t>Credit Card Total</t>
  </si>
  <si>
    <t>PayPal Total</t>
  </si>
  <si>
    <t>Cash Total</t>
  </si>
  <si>
    <t>Debit Card Total</t>
  </si>
  <si>
    <t>East Total</t>
  </si>
  <si>
    <t>North Total</t>
  </si>
  <si>
    <t>West Total</t>
  </si>
  <si>
    <t>Central Total</t>
  </si>
  <si>
    <t>South Total</t>
  </si>
  <si>
    <t>Most Sold Products Pivot tables and charts</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</si>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</sst>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0"/>
      <name val="Calibri"/>
      <family val="2"/>
      <scheme val="minor"/>
    </font>
    <font>
      <b/>
      <sz val="11"/>
      <color theme="1"/>
      <name val="Calibri"/>
      <family val="2"/>
      <scheme val="minor"/>
    </font>
    <font>
      <sz val="36"/>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theme="4"/>
        <bgColor theme="4"/>
      </patternFill>
    </fill>
    <fill>
      <patternFill patternType="solid">
        <fgColor rgb="FFF0F0F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4">
    <xf numFmtId="0" fontId="0" fillId="0" borderId="0" xfId="0"/>
    <xf numFmtId="0" fontId="4" fillId="2" borderId="1" xfId="0" applyFont="1" applyFill="1" applyBorder="1" applyAlignment="1">
      <alignment horizontal="center"/>
    </xf>
    <xf numFmtId="0" fontId="5" fillId="0" borderId="0" xfId="0" applyFont="1" applyAlignment="1">
      <alignment horizontal="center" vertical="center"/>
    </xf>
    <xf numFmtId="0" fontId="6" fillId="0" borderId="1" xfId="0" applyFont="1" applyBorder="1"/>
    <xf numFmtId="0" fontId="0" fillId="0" borderId="0" xfId="0"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164" fontId="5" fillId="0" borderId="0" xfId="0" applyNumberFormat="1" applyFont="1" applyAlignment="1">
      <alignment horizontal="center" vertical="center"/>
    </xf>
    <xf numFmtId="0" fontId="11" fillId="0" borderId="0" xfId="0" applyFont="1" applyAlignment="1">
      <alignment horizontal="center" vertical="center"/>
    </xf>
    <xf numFmtId="0" fontId="3" fillId="0" borderId="0" xfId="0" applyFont="1" applyAlignment="1">
      <alignment horizontal="center"/>
    </xf>
    <xf numFmtId="0" fontId="11" fillId="0" borderId="0" xfId="0" applyFont="1" applyAlignment="1">
      <alignment horizontal="center"/>
    </xf>
    <xf numFmtId="164" fontId="3" fillId="0" borderId="3" xfId="0" applyNumberFormat="1" applyFont="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 fillId="0" borderId="0" xfId="0" applyFont="1" applyAlignment="1">
      <alignment horizontal="center"/>
    </xf>
    <xf numFmtId="0" fontId="2" fillId="0" borderId="6"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1" fontId="0" fillId="0" borderId="0" xfId="0" applyNumberFormat="1" applyAlignment="1">
      <alignment horizontal="center"/>
    </xf>
    <xf numFmtId="0" fontId="11" fillId="0" borderId="0" xfId="0" applyFont="1" applyAlignment="1">
      <alignment vertical="center"/>
    </xf>
    <xf numFmtId="0" fontId="0" fillId="0" borderId="0" xfId="0" pivotButton="1" applyAlignment="1">
      <alignment horizontal="center" vertical="center"/>
    </xf>
    <xf numFmtId="0" fontId="0" fillId="0" borderId="0" xfId="0" applyAlignment="1">
      <alignment vertical="center"/>
    </xf>
    <xf numFmtId="0" fontId="12" fillId="0" borderId="0" xfId="0" applyFont="1" applyAlignment="1">
      <alignment vertical="center"/>
    </xf>
    <xf numFmtId="0" fontId="7" fillId="0" borderId="0" xfId="0" applyFont="1" applyAlignment="1">
      <alignment horizontal="center" vertical="center" wrapText="1"/>
    </xf>
    <xf numFmtId="0" fontId="0" fillId="0" borderId="0" xfId="0" applyAlignment="1">
      <alignment vertical="center" wrapText="1"/>
    </xf>
    <xf numFmtId="0" fontId="13" fillId="0" borderId="0" xfId="0" applyFont="1" applyAlignment="1">
      <alignment vertical="center"/>
    </xf>
    <xf numFmtId="0" fontId="0" fillId="4" borderId="0" xfId="0" applyFill="1" applyAlignment="1">
      <alignment horizontal="center" vertical="center"/>
    </xf>
    <xf numFmtId="0" fontId="11" fillId="0" borderId="0" xfId="0" applyFont="1" applyAlignment="1">
      <alignment horizontal="center" vertical="center"/>
    </xf>
    <xf numFmtId="0" fontId="2" fillId="0" borderId="6" xfId="0" applyFont="1" applyBorder="1" applyAlignment="1">
      <alignment horizontal="center" vertical="center"/>
    </xf>
    <xf numFmtId="0" fontId="13" fillId="0" borderId="0" xfId="0" applyFont="1" applyAlignment="1">
      <alignment horizontal="center" vertical="center"/>
    </xf>
    <xf numFmtId="0" fontId="0" fillId="0" borderId="0" xfId="0" applyAlignment="1"/>
    <xf numFmtId="0" fontId="0" fillId="0" borderId="0" xfId="0" applyNumberFormat="1" applyAlignment="1">
      <alignment horizontal="center" vertical="center"/>
    </xf>
    <xf numFmtId="0" fontId="1" fillId="0" borderId="0" xfId="0" applyFont="1" applyAlignment="1">
      <alignment vertical="center"/>
    </xf>
  </cellXfs>
  <cellStyles count="1">
    <cellStyle name="Normal" xfId="0" builtinId="0"/>
  </cellStyles>
  <dxfs count="152">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s>
  <tableStyles count="0" defaultTableStyle="TableStyleMedium2" defaultPivotStyle="PivotStyleLight16"/>
  <colors>
    <mruColors>
      <color rgb="FF1F77B4"/>
      <color rgb="FF4B0082"/>
      <color rgb="FFFFFFFF"/>
      <color rgb="FF87CEFA"/>
      <color rgb="FF191970"/>
      <color rgb="FFE6E6FA"/>
      <color rgb="FF483D8B"/>
      <color rgb="FFF5F5DC"/>
      <color rgb="FFA3B18C"/>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Project.xlsx]Total Revenue Charts!Regionwise total revenue</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Regionwise</a:t>
            </a:r>
          </a:p>
        </c:rich>
      </c:tx>
      <c:layout>
        <c:manualLayout>
          <c:xMode val="edge"/>
          <c:yMode val="edge"/>
          <c:x val="0.27667668484444624"/>
          <c:y val="9.95024875621890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dLbl>
          <c:idx val="0"/>
          <c:layout>
            <c:manualLayout>
              <c:x val="1.388888888888888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dLbl>
          <c:idx val="0"/>
          <c:layout>
            <c:manualLayout>
              <c:x val="1.66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1.111111111111111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dLbl>
          <c:idx val="0"/>
          <c:layout>
            <c:manualLayout>
              <c:x val="1.3888888888888888E-2"/>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8.3333333333333454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8.3333333333333454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dLbl>
          <c:idx val="0"/>
          <c:layout>
            <c:manualLayout>
              <c:x val="1.3888888888888888E-2"/>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dLbl>
          <c:idx val="0"/>
          <c:layout>
            <c:manualLayout>
              <c:x val="1.111111111111111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dLbl>
          <c:idx val="0"/>
          <c:layout>
            <c:manualLayout>
              <c:x val="1.66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a:sp3d/>
        </c:spPr>
        <c:dLbl>
          <c:idx val="0"/>
          <c:layout>
            <c:manualLayout>
              <c:x val="1.388888888888888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8.3333333333333332E-3"/>
              <c:y val="-0.126438451474692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dLbl>
          <c:idx val="0"/>
          <c:layout>
            <c:manualLayout>
              <c:x val="1.3888950398582817E-2"/>
              <c:y val="-0.126795364915526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dLbl>
          <c:idx val="0"/>
          <c:layout>
            <c:manualLayout>
              <c:x val="1.1111049601417098E-2"/>
              <c:y val="-0.136768523768314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a:sp3d/>
        </c:spPr>
        <c:dLbl>
          <c:idx val="0"/>
          <c:layout>
            <c:manualLayout>
              <c:x val="1.6666666666666666E-2"/>
              <c:y val="-0.122522612370800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a:sp3d/>
        </c:spPr>
        <c:dLbl>
          <c:idx val="0"/>
          <c:layout>
            <c:manualLayout>
              <c:x val="1.3888950398582817E-2"/>
              <c:y val="-0.13249577122358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Revenue Charts'!$B$5</c:f>
              <c:strCache>
                <c:ptCount val="1"/>
                <c:pt idx="0">
                  <c:v>Total</c:v>
                </c:pt>
              </c:strCache>
            </c:strRef>
          </c:tx>
          <c:spPr>
            <a:solidFill>
              <a:schemeClr val="accent2"/>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1-C45A-461F-B158-0E97E5A9ACE1}"/>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3-C45A-461F-B158-0E97E5A9ACE1}"/>
              </c:ext>
            </c:extLst>
          </c:dPt>
          <c:dPt>
            <c:idx val="2"/>
            <c:invertIfNegative val="0"/>
            <c:bubble3D val="0"/>
            <c:spPr>
              <a:solidFill>
                <a:srgbClr val="7030A0"/>
              </a:solidFill>
              <a:ln>
                <a:noFill/>
              </a:ln>
              <a:effectLst/>
              <a:sp3d/>
            </c:spPr>
            <c:extLst>
              <c:ext xmlns:c16="http://schemas.microsoft.com/office/drawing/2014/chart" uri="{C3380CC4-5D6E-409C-BE32-E72D297353CC}">
                <c16:uniqueId val="{00000005-C45A-461F-B158-0E97E5A9ACE1}"/>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7-C45A-461F-B158-0E97E5A9ACE1}"/>
              </c:ext>
            </c:extLst>
          </c:dPt>
          <c:dPt>
            <c:idx val="4"/>
            <c:invertIfNegative val="0"/>
            <c:bubble3D val="0"/>
            <c:spPr>
              <a:solidFill>
                <a:srgbClr val="FF0000"/>
              </a:solidFill>
              <a:ln>
                <a:noFill/>
              </a:ln>
              <a:effectLst/>
              <a:sp3d/>
            </c:spPr>
            <c:extLst>
              <c:ext xmlns:c16="http://schemas.microsoft.com/office/drawing/2014/chart" uri="{C3380CC4-5D6E-409C-BE32-E72D297353CC}">
                <c16:uniqueId val="{00000009-C45A-461F-B158-0E97E5A9ACE1}"/>
              </c:ext>
            </c:extLst>
          </c:dPt>
          <c:dLbls>
            <c:dLbl>
              <c:idx val="0"/>
              <c:layout>
                <c:manualLayout>
                  <c:x val="1.3888950398582817E-2"/>
                  <c:y val="-0.12679536491552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5A-461F-B158-0E97E5A9ACE1}"/>
                </c:ext>
              </c:extLst>
            </c:dLbl>
            <c:dLbl>
              <c:idx val="1"/>
              <c:layout>
                <c:manualLayout>
                  <c:x val="1.1111049601417098E-2"/>
                  <c:y val="-0.13676852376831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5A-461F-B158-0E97E5A9ACE1}"/>
                </c:ext>
              </c:extLst>
            </c:dLbl>
            <c:dLbl>
              <c:idx val="2"/>
              <c:layout>
                <c:manualLayout>
                  <c:x val="1.3888950398582817E-2"/>
                  <c:y val="-0.1324957712235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5A-461F-B158-0E97E5A9ACE1}"/>
                </c:ext>
              </c:extLst>
            </c:dLbl>
            <c:dLbl>
              <c:idx val="3"/>
              <c:layout>
                <c:manualLayout>
                  <c:x val="8.3333333333333332E-3"/>
                  <c:y val="-0.126438451474692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5A-461F-B158-0E97E5A9ACE1}"/>
                </c:ext>
              </c:extLst>
            </c:dLbl>
            <c:dLbl>
              <c:idx val="4"/>
              <c:layout>
                <c:manualLayout>
                  <c:x val="1.6666666666666666E-2"/>
                  <c:y val="-0.122522612370800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5A-461F-B158-0E97E5A9AC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Revenue Charts'!$A$6:$A$11</c:f>
              <c:strCache>
                <c:ptCount val="5"/>
                <c:pt idx="0">
                  <c:v>East</c:v>
                </c:pt>
                <c:pt idx="1">
                  <c:v>North</c:v>
                </c:pt>
                <c:pt idx="2">
                  <c:v>West</c:v>
                </c:pt>
                <c:pt idx="3">
                  <c:v>Central</c:v>
                </c:pt>
                <c:pt idx="4">
                  <c:v>South</c:v>
                </c:pt>
              </c:strCache>
            </c:strRef>
          </c:cat>
          <c:val>
            <c:numRef>
              <c:f>'Total Revenue Charts'!$B$6:$B$11</c:f>
              <c:numCache>
                <c:formatCode>General</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A-C45A-461F-B158-0E97E5A9ACE1}"/>
            </c:ext>
          </c:extLst>
        </c:ser>
        <c:dLbls>
          <c:showLegendKey val="0"/>
          <c:showVal val="1"/>
          <c:showCatName val="0"/>
          <c:showSerName val="0"/>
          <c:showPercent val="0"/>
          <c:showBubbleSize val="0"/>
        </c:dLbls>
        <c:gapWidth val="150"/>
        <c:shape val="box"/>
        <c:axId val="2031767967"/>
        <c:axId val="2031767487"/>
        <c:axId val="0"/>
      </c:bar3DChart>
      <c:catAx>
        <c:axId val="2031767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1767487"/>
        <c:crosses val="autoZero"/>
        <c:auto val="1"/>
        <c:lblAlgn val="ctr"/>
        <c:lblOffset val="100"/>
        <c:noMultiLvlLbl val="0"/>
      </c:catAx>
      <c:valAx>
        <c:axId val="2031767487"/>
        <c:scaling>
          <c:orientation val="minMax"/>
        </c:scaling>
        <c:delete val="1"/>
        <c:axPos val="l"/>
        <c:numFmt formatCode="General" sourceLinked="1"/>
        <c:majorTickMark val="out"/>
        <c:minorTickMark val="none"/>
        <c:tickLblPos val="nextTo"/>
        <c:crossAx val="203176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Project.xlsx]Total Revenue Charts!payment_method wise revenue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 Revenue By Different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70C0"/>
          </a:solidFill>
          <a:ln>
            <a:noFill/>
          </a:ln>
          <a:effectLst/>
        </c:spPr>
      </c:pivotFmt>
      <c:pivotFmt>
        <c:idx val="3"/>
        <c:spPr>
          <a:solidFill>
            <a:schemeClr val="accent6"/>
          </a:solidFill>
          <a:ln>
            <a:noFill/>
          </a:ln>
          <a:effectLst/>
        </c:spPr>
      </c:pivotFmt>
      <c:pivotFmt>
        <c:idx val="4"/>
        <c:spPr>
          <a:solidFill>
            <a:srgbClr val="7030A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pivotFmt>
      <c:pivotFmt>
        <c:idx val="7"/>
        <c:spPr>
          <a:solidFill>
            <a:schemeClr val="accent6"/>
          </a:solidFill>
          <a:ln>
            <a:noFill/>
          </a:ln>
          <a:effectLst/>
        </c:spPr>
      </c:pivotFmt>
      <c:pivotFmt>
        <c:idx val="8"/>
        <c:spPr>
          <a:solidFill>
            <a:srgbClr val="0070C0"/>
          </a:solidFill>
          <a:ln>
            <a:noFill/>
          </a:ln>
          <a:effectLst/>
        </c:spPr>
      </c:pivotFmt>
      <c:pivotFmt>
        <c:idx val="9"/>
        <c:spPr>
          <a:solidFill>
            <a:srgbClr val="00B05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c:spPr>
      </c:pivotFmt>
      <c:pivotFmt>
        <c:idx val="12"/>
        <c:spPr>
          <a:solidFill>
            <a:schemeClr val="accent6"/>
          </a:solidFill>
          <a:ln>
            <a:noFill/>
          </a:ln>
          <a:effectLst/>
        </c:spPr>
      </c:pivotFmt>
      <c:pivotFmt>
        <c:idx val="13"/>
        <c:spPr>
          <a:solidFill>
            <a:srgbClr val="0070C0"/>
          </a:solidFill>
          <a:ln>
            <a:noFill/>
          </a:ln>
          <a:effectLst/>
        </c:spPr>
      </c:pivotFmt>
      <c:pivotFmt>
        <c:idx val="14"/>
        <c:spPr>
          <a:solidFill>
            <a:srgbClr val="00B050"/>
          </a:solidFill>
          <a:ln>
            <a:noFill/>
          </a:ln>
          <a:effectLst/>
        </c:spPr>
      </c:pivotFmt>
    </c:pivotFmts>
    <c:plotArea>
      <c:layout>
        <c:manualLayout>
          <c:layoutTarget val="inner"/>
          <c:xMode val="edge"/>
          <c:yMode val="edge"/>
          <c:x val="0.15772025371828521"/>
          <c:y val="0.16455770357352081"/>
          <c:w val="0.8117241907261592"/>
          <c:h val="0.80615114235500873"/>
        </c:manualLayout>
      </c:layout>
      <c:barChart>
        <c:barDir val="bar"/>
        <c:grouping val="clustered"/>
        <c:varyColors val="0"/>
        <c:ser>
          <c:idx val="0"/>
          <c:order val="0"/>
          <c:tx>
            <c:strRef>
              <c:f>'Total Revenue Charts'!$B$16</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CDEE-478D-9386-BE9B24716E9E}"/>
              </c:ext>
            </c:extLst>
          </c:dPt>
          <c:dPt>
            <c:idx val="1"/>
            <c:invertIfNegative val="0"/>
            <c:bubble3D val="0"/>
            <c:spPr>
              <a:solidFill>
                <a:srgbClr val="00B050"/>
              </a:solidFill>
              <a:ln>
                <a:noFill/>
              </a:ln>
              <a:effectLst/>
            </c:spPr>
            <c:extLst>
              <c:ext xmlns:c16="http://schemas.microsoft.com/office/drawing/2014/chart" uri="{C3380CC4-5D6E-409C-BE32-E72D297353CC}">
                <c16:uniqueId val="{00000003-CDEE-478D-9386-BE9B24716E9E}"/>
              </c:ext>
            </c:extLst>
          </c:dPt>
          <c:dPt>
            <c:idx val="2"/>
            <c:invertIfNegative val="0"/>
            <c:bubble3D val="0"/>
            <c:spPr>
              <a:solidFill>
                <a:srgbClr val="7030A0"/>
              </a:solidFill>
              <a:ln>
                <a:noFill/>
              </a:ln>
              <a:effectLst/>
            </c:spPr>
            <c:extLst>
              <c:ext xmlns:c16="http://schemas.microsoft.com/office/drawing/2014/chart" uri="{C3380CC4-5D6E-409C-BE32-E72D297353CC}">
                <c16:uniqueId val="{00000005-CDEE-478D-9386-BE9B24716E9E}"/>
              </c:ext>
            </c:extLst>
          </c:dPt>
          <c:dPt>
            <c:idx val="3"/>
            <c:invertIfNegative val="0"/>
            <c:bubble3D val="0"/>
            <c:spPr>
              <a:solidFill>
                <a:srgbClr val="0070C0"/>
              </a:solidFill>
              <a:ln>
                <a:noFill/>
              </a:ln>
              <a:effectLst/>
            </c:spPr>
            <c:extLst>
              <c:ext xmlns:c16="http://schemas.microsoft.com/office/drawing/2014/chart" uri="{C3380CC4-5D6E-409C-BE32-E72D297353CC}">
                <c16:uniqueId val="{00000007-CDEE-478D-9386-BE9B24716E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 Charts'!$A$17:$A$21</c:f>
              <c:strCache>
                <c:ptCount val="4"/>
                <c:pt idx="0">
                  <c:v>Credit Card</c:v>
                </c:pt>
                <c:pt idx="1">
                  <c:v>PayPal</c:v>
                </c:pt>
                <c:pt idx="2">
                  <c:v>Cash</c:v>
                </c:pt>
                <c:pt idx="3">
                  <c:v>Debit Card</c:v>
                </c:pt>
              </c:strCache>
            </c:strRef>
          </c:cat>
          <c:val>
            <c:numRef>
              <c:f>'Total Revenue Charts'!$B$17:$B$21</c:f>
              <c:numCache>
                <c:formatCode>General</c:formatCode>
                <c:ptCount val="4"/>
                <c:pt idx="0">
                  <c:v>61447.960000000014</c:v>
                </c:pt>
                <c:pt idx="1">
                  <c:v>58198.409999999996</c:v>
                </c:pt>
                <c:pt idx="2">
                  <c:v>57427.790000000023</c:v>
                </c:pt>
                <c:pt idx="3">
                  <c:v>52118.310000000005</c:v>
                </c:pt>
              </c:numCache>
            </c:numRef>
          </c:val>
          <c:extLst>
            <c:ext xmlns:c16="http://schemas.microsoft.com/office/drawing/2014/chart" uri="{C3380CC4-5D6E-409C-BE32-E72D297353CC}">
              <c16:uniqueId val="{00000008-CDEE-478D-9386-BE9B24716E9E}"/>
            </c:ext>
          </c:extLst>
        </c:ser>
        <c:dLbls>
          <c:dLblPos val="outEnd"/>
          <c:showLegendKey val="0"/>
          <c:showVal val="1"/>
          <c:showCatName val="0"/>
          <c:showSerName val="0"/>
          <c:showPercent val="0"/>
          <c:showBubbleSize val="0"/>
        </c:dLbls>
        <c:gapWidth val="182"/>
        <c:axId val="2080903855"/>
        <c:axId val="2080903375"/>
      </c:barChart>
      <c:catAx>
        <c:axId val="2080903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80903375"/>
        <c:crosses val="autoZero"/>
        <c:auto val="1"/>
        <c:lblAlgn val="ctr"/>
        <c:lblOffset val="100"/>
        <c:noMultiLvlLbl val="0"/>
      </c:catAx>
      <c:valAx>
        <c:axId val="2080903375"/>
        <c:scaling>
          <c:orientation val="minMax"/>
        </c:scaling>
        <c:delete val="1"/>
        <c:axPos val="b"/>
        <c:numFmt formatCode="General" sourceLinked="1"/>
        <c:majorTickMark val="out"/>
        <c:minorTickMark val="none"/>
        <c:tickLblPos val="nextTo"/>
        <c:crossAx val="208090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Project.xlsx]Total Revenue Charts!category wise 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Product Categorywise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pivotFmt>
      <c:pivotFmt>
        <c:idx val="2"/>
        <c:spPr>
          <a:solidFill>
            <a:srgbClr val="00B050"/>
          </a:solidFill>
          <a:ln>
            <a:noFill/>
          </a:ln>
          <a:effectLst/>
        </c:spPr>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pivotFmt>
      <c:pivotFmt>
        <c:idx val="6"/>
        <c:spPr>
          <a:solidFill>
            <a:srgbClr val="00B050"/>
          </a:solidFill>
          <a:ln>
            <a:noFill/>
          </a:ln>
          <a:effectLst/>
        </c:spPr>
      </c:pivotFmt>
      <c:pivotFmt>
        <c:idx val="7"/>
        <c:spPr>
          <a:solidFill>
            <a:schemeClr val="accent6"/>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pivotFmt>
      <c:pivotFmt>
        <c:idx val="10"/>
        <c:spPr>
          <a:solidFill>
            <a:srgbClr val="00B050"/>
          </a:solidFill>
          <a:ln>
            <a:noFill/>
          </a:ln>
          <a:effectLst/>
        </c:spPr>
      </c:pivotFmt>
      <c:pivotFmt>
        <c:idx val="11"/>
        <c:spPr>
          <a:solidFill>
            <a:schemeClr val="accent6"/>
          </a:solidFill>
          <a:ln>
            <a:noFill/>
          </a:ln>
          <a:effectLst/>
        </c:spPr>
      </c:pivotFmt>
    </c:pivotFmts>
    <c:plotArea>
      <c:layout>
        <c:manualLayout>
          <c:layoutTarget val="inner"/>
          <c:xMode val="edge"/>
          <c:yMode val="edge"/>
          <c:x val="0.15428958880139981"/>
          <c:y val="0.14365432098765435"/>
          <c:w val="0.81515485564304457"/>
          <c:h val="0.80202469135802468"/>
        </c:manualLayout>
      </c:layout>
      <c:barChart>
        <c:barDir val="bar"/>
        <c:grouping val="clustered"/>
        <c:varyColors val="0"/>
        <c:ser>
          <c:idx val="0"/>
          <c:order val="0"/>
          <c:tx>
            <c:strRef>
              <c:f>'Total Revenue Charts'!$B$29</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24BD-4018-964D-96F6B77C603D}"/>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24BD-4018-964D-96F6B77C603D}"/>
              </c:ext>
            </c:extLst>
          </c:dPt>
          <c:dPt>
            <c:idx val="2"/>
            <c:invertIfNegative val="0"/>
            <c:bubble3D val="0"/>
            <c:spPr>
              <a:solidFill>
                <a:srgbClr val="00B0F0"/>
              </a:solidFill>
              <a:ln>
                <a:noFill/>
              </a:ln>
              <a:effectLst/>
            </c:spPr>
            <c:extLst>
              <c:ext xmlns:c16="http://schemas.microsoft.com/office/drawing/2014/chart" uri="{C3380CC4-5D6E-409C-BE32-E72D297353CC}">
                <c16:uniqueId val="{00000005-24BD-4018-964D-96F6B77C603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 Charts'!$A$30:$A$33</c:f>
              <c:strCache>
                <c:ptCount val="3"/>
                <c:pt idx="0">
                  <c:v>Electronics</c:v>
                </c:pt>
                <c:pt idx="1">
                  <c:v>Furniture</c:v>
                </c:pt>
                <c:pt idx="2">
                  <c:v>Appliances</c:v>
                </c:pt>
              </c:strCache>
            </c:strRef>
          </c:cat>
          <c:val>
            <c:numRef>
              <c:f>'Total Revenue Charts'!$B$30:$B$33</c:f>
              <c:numCache>
                <c:formatCode>General</c:formatCode>
                <c:ptCount val="3"/>
                <c:pt idx="0">
                  <c:v>171756.05000000013</c:v>
                </c:pt>
                <c:pt idx="1">
                  <c:v>49097.680000000015</c:v>
                </c:pt>
                <c:pt idx="2">
                  <c:v>8338.7399999999961</c:v>
                </c:pt>
              </c:numCache>
            </c:numRef>
          </c:val>
          <c:extLst>
            <c:ext xmlns:c16="http://schemas.microsoft.com/office/drawing/2014/chart" uri="{C3380CC4-5D6E-409C-BE32-E72D297353CC}">
              <c16:uniqueId val="{00000006-24BD-4018-964D-96F6B77C603D}"/>
            </c:ext>
          </c:extLst>
        </c:ser>
        <c:dLbls>
          <c:dLblPos val="outEnd"/>
          <c:showLegendKey val="0"/>
          <c:showVal val="1"/>
          <c:showCatName val="0"/>
          <c:showSerName val="0"/>
          <c:showPercent val="0"/>
          <c:showBubbleSize val="0"/>
        </c:dLbls>
        <c:gapWidth val="182"/>
        <c:axId val="2076239439"/>
        <c:axId val="2076238479"/>
      </c:barChart>
      <c:catAx>
        <c:axId val="2076239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76238479"/>
        <c:crosses val="autoZero"/>
        <c:auto val="1"/>
        <c:lblAlgn val="ctr"/>
        <c:lblOffset val="100"/>
        <c:noMultiLvlLbl val="0"/>
      </c:catAx>
      <c:valAx>
        <c:axId val="2076238479"/>
        <c:scaling>
          <c:orientation val="minMax"/>
        </c:scaling>
        <c:delete val="1"/>
        <c:axPos val="b"/>
        <c:numFmt formatCode="General" sourceLinked="1"/>
        <c:majorTickMark val="out"/>
        <c:minorTickMark val="none"/>
        <c:tickLblPos val="nextTo"/>
        <c:crossAx val="2076239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Project.xlsx]Total Revenue Charts!customerwise revenue</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Customerwise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Revenue Charts'!$B$80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 Charts'!$A$81:$A$131</c:f>
              <c:strCache>
                <c:ptCount val="50"/>
                <c:pt idx="0">
                  <c:v>Mark Carter</c:v>
                </c:pt>
                <c:pt idx="1">
                  <c:v>Edward Mitchell</c:v>
                </c:pt>
                <c:pt idx="2">
                  <c:v>Barbara Young</c:v>
                </c:pt>
                <c:pt idx="3">
                  <c:v>Patricia Moore</c:v>
                </c:pt>
                <c:pt idx="4">
                  <c:v>Paul Baker</c:v>
                </c:pt>
                <c:pt idx="5">
                  <c:v>Dorothy Nelson</c:v>
                </c:pt>
                <c:pt idx="6">
                  <c:v>Karen Hill</c:v>
                </c:pt>
                <c:pt idx="7">
                  <c:v>Daniel King</c:v>
                </c:pt>
                <c:pt idx="8">
                  <c:v>Lawrence Reed</c:v>
                </c:pt>
                <c:pt idx="9">
                  <c:v>Joseph Jackson</c:v>
                </c:pt>
                <c:pt idx="10">
                  <c:v>Helen Roberts</c:v>
                </c:pt>
                <c:pt idx="11">
                  <c:v>Gerald Murphy</c:v>
                </c:pt>
                <c:pt idx="12">
                  <c:v>Sandra Phillips</c:v>
                </c:pt>
                <c:pt idx="13">
                  <c:v>Michael Brown</c:v>
                </c:pt>
                <c:pt idx="14">
                  <c:v>Peter Richardson</c:v>
                </c:pt>
                <c:pt idx="15">
                  <c:v>Betty Campbell</c:v>
                </c:pt>
                <c:pt idx="16">
                  <c:v>Sharon Butler</c:v>
                </c:pt>
                <c:pt idx="17">
                  <c:v>Harry Morgan</c:v>
                </c:pt>
                <c:pt idx="18">
                  <c:v>Sarah Davis</c:v>
                </c:pt>
                <c:pt idx="19">
                  <c:v>Charles Allen</c:v>
                </c:pt>
                <c:pt idx="20">
                  <c:v>Douglas Watson</c:v>
                </c:pt>
                <c:pt idx="21">
                  <c:v>Virginia Sanders</c:v>
                </c:pt>
                <c:pt idx="22">
                  <c:v>William White</c:v>
                </c:pt>
                <c:pt idx="23">
                  <c:v>Jennifer Taylor</c:v>
                </c:pt>
                <c:pt idx="24">
                  <c:v>Kathleen Bennett</c:v>
                </c:pt>
                <c:pt idx="25">
                  <c:v>Michelle Rogers</c:v>
                </c:pt>
                <c:pt idx="26">
                  <c:v>Nancy Collins</c:v>
                </c:pt>
                <c:pt idx="27">
                  <c:v>George Adams</c:v>
                </c:pt>
                <c:pt idx="28">
                  <c:v>Cynthia Price</c:v>
                </c:pt>
                <c:pt idx="29">
                  <c:v>Raymond Ross</c:v>
                </c:pt>
                <c:pt idx="30">
                  <c:v>Elizabeth Hall</c:v>
                </c:pt>
                <c:pt idx="31">
                  <c:v>Robert Thomas</c:v>
                </c:pt>
                <c:pt idx="32">
                  <c:v>Kevin Scott</c:v>
                </c:pt>
                <c:pt idx="33">
                  <c:v>Steven Turner</c:v>
                </c:pt>
                <c:pt idx="34">
                  <c:v>Margaret Wright</c:v>
                </c:pt>
                <c:pt idx="35">
                  <c:v>Lisa Anderson</c:v>
                </c:pt>
                <c:pt idx="36">
                  <c:v>Susan Green</c:v>
                </c:pt>
                <c:pt idx="37">
                  <c:v>Maria Garcia</c:v>
                </c:pt>
                <c:pt idx="38">
                  <c:v>David Martinez</c:v>
                </c:pt>
                <c:pt idx="39">
                  <c:v>Ruth Brooks</c:v>
                </c:pt>
                <c:pt idx="40">
                  <c:v>Arthur Edwards</c:v>
                </c:pt>
                <c:pt idx="41">
                  <c:v>Frank Torres</c:v>
                </c:pt>
                <c:pt idx="42">
                  <c:v>Linda Martin</c:v>
                </c:pt>
                <c:pt idx="43">
                  <c:v>Emma Wilson</c:v>
                </c:pt>
                <c:pt idx="44">
                  <c:v>Carol Evans</c:v>
                </c:pt>
                <c:pt idx="45">
                  <c:v>Richard Lee</c:v>
                </c:pt>
                <c:pt idx="46">
                  <c:v>John Smith</c:v>
                </c:pt>
                <c:pt idx="47">
                  <c:v>Dennis Gray</c:v>
                </c:pt>
                <c:pt idx="48">
                  <c:v>Julie Foster</c:v>
                </c:pt>
                <c:pt idx="49">
                  <c:v>James Johnson</c:v>
                </c:pt>
              </c:strCache>
            </c:strRef>
          </c:cat>
          <c:val>
            <c:numRef>
              <c:f>'Total Revenue Charts'!$B$81:$B$131</c:f>
              <c:numCache>
                <c:formatCode>General</c:formatCode>
                <c:ptCount val="50"/>
                <c:pt idx="0">
                  <c:v>15659.65</c:v>
                </c:pt>
                <c:pt idx="1">
                  <c:v>11919.769999999999</c:v>
                </c:pt>
                <c:pt idx="2">
                  <c:v>10649.8</c:v>
                </c:pt>
                <c:pt idx="3">
                  <c:v>9799.73</c:v>
                </c:pt>
                <c:pt idx="4">
                  <c:v>8309.739999999998</c:v>
                </c:pt>
                <c:pt idx="5">
                  <c:v>8269.7900000000009</c:v>
                </c:pt>
                <c:pt idx="6">
                  <c:v>8009.7699999999995</c:v>
                </c:pt>
                <c:pt idx="7">
                  <c:v>7309.7999999999993</c:v>
                </c:pt>
                <c:pt idx="8">
                  <c:v>6989.7699999999986</c:v>
                </c:pt>
                <c:pt idx="9">
                  <c:v>6949.84</c:v>
                </c:pt>
                <c:pt idx="10">
                  <c:v>6459.79</c:v>
                </c:pt>
                <c:pt idx="11">
                  <c:v>6379.87</c:v>
                </c:pt>
                <c:pt idx="12">
                  <c:v>6349.83</c:v>
                </c:pt>
                <c:pt idx="13">
                  <c:v>6169.7400000000007</c:v>
                </c:pt>
                <c:pt idx="14">
                  <c:v>5949.85</c:v>
                </c:pt>
                <c:pt idx="15">
                  <c:v>5649.84</c:v>
                </c:pt>
                <c:pt idx="16">
                  <c:v>5619.869999999999</c:v>
                </c:pt>
                <c:pt idx="17">
                  <c:v>5519.8899999999994</c:v>
                </c:pt>
                <c:pt idx="18">
                  <c:v>5499.8099999999995</c:v>
                </c:pt>
                <c:pt idx="19">
                  <c:v>5089.7300000000005</c:v>
                </c:pt>
                <c:pt idx="20">
                  <c:v>4829.8899999999994</c:v>
                </c:pt>
                <c:pt idx="21">
                  <c:v>4789.7900000000009</c:v>
                </c:pt>
                <c:pt idx="22">
                  <c:v>4749.91</c:v>
                </c:pt>
                <c:pt idx="23">
                  <c:v>4739.8500000000004</c:v>
                </c:pt>
                <c:pt idx="24">
                  <c:v>4309.8099999999995</c:v>
                </c:pt>
                <c:pt idx="25">
                  <c:v>4199.9399999999996</c:v>
                </c:pt>
                <c:pt idx="26">
                  <c:v>4189.7700000000004</c:v>
                </c:pt>
                <c:pt idx="27">
                  <c:v>3779.93</c:v>
                </c:pt>
                <c:pt idx="28">
                  <c:v>3769.8300000000004</c:v>
                </c:pt>
                <c:pt idx="29">
                  <c:v>3669.8500000000004</c:v>
                </c:pt>
                <c:pt idx="30">
                  <c:v>3649.8599999999997</c:v>
                </c:pt>
                <c:pt idx="31">
                  <c:v>3509.8999999999996</c:v>
                </c:pt>
                <c:pt idx="32">
                  <c:v>3259.87</c:v>
                </c:pt>
                <c:pt idx="33">
                  <c:v>2649.83</c:v>
                </c:pt>
                <c:pt idx="34">
                  <c:v>2099.88</c:v>
                </c:pt>
                <c:pt idx="35">
                  <c:v>2039.8000000000002</c:v>
                </c:pt>
                <c:pt idx="36">
                  <c:v>1979.89</c:v>
                </c:pt>
                <c:pt idx="37">
                  <c:v>1909.93</c:v>
                </c:pt>
                <c:pt idx="38">
                  <c:v>1809.84</c:v>
                </c:pt>
                <c:pt idx="39">
                  <c:v>1749.92</c:v>
                </c:pt>
                <c:pt idx="40">
                  <c:v>1559.94</c:v>
                </c:pt>
                <c:pt idx="41">
                  <c:v>1479.91</c:v>
                </c:pt>
                <c:pt idx="42">
                  <c:v>1289.9000000000001</c:v>
                </c:pt>
                <c:pt idx="43">
                  <c:v>1229.8800000000001</c:v>
                </c:pt>
                <c:pt idx="44">
                  <c:v>1149.93</c:v>
                </c:pt>
                <c:pt idx="45">
                  <c:v>739.93000000000006</c:v>
                </c:pt>
                <c:pt idx="46">
                  <c:v>599.96</c:v>
                </c:pt>
                <c:pt idx="47">
                  <c:v>479.91999999999996</c:v>
                </c:pt>
                <c:pt idx="48">
                  <c:v>239.96</c:v>
                </c:pt>
                <c:pt idx="49">
                  <c:v>179.97</c:v>
                </c:pt>
              </c:numCache>
            </c:numRef>
          </c:val>
          <c:extLst>
            <c:ext xmlns:c16="http://schemas.microsoft.com/office/drawing/2014/chart" uri="{C3380CC4-5D6E-409C-BE32-E72D297353CC}">
              <c16:uniqueId val="{00000000-39BC-4B7F-A8A2-F547A10E3929}"/>
            </c:ext>
          </c:extLst>
        </c:ser>
        <c:dLbls>
          <c:dLblPos val="outEnd"/>
          <c:showLegendKey val="0"/>
          <c:showVal val="1"/>
          <c:showCatName val="0"/>
          <c:showSerName val="0"/>
          <c:showPercent val="0"/>
          <c:showBubbleSize val="0"/>
        </c:dLbls>
        <c:gapWidth val="182"/>
        <c:axId val="463234959"/>
        <c:axId val="463233519"/>
      </c:barChart>
      <c:catAx>
        <c:axId val="463234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3233519"/>
        <c:crosses val="autoZero"/>
        <c:auto val="1"/>
        <c:lblAlgn val="ctr"/>
        <c:lblOffset val="100"/>
        <c:noMultiLvlLbl val="0"/>
      </c:catAx>
      <c:valAx>
        <c:axId val="463233519"/>
        <c:scaling>
          <c:orientation val="minMax"/>
        </c:scaling>
        <c:delete val="1"/>
        <c:axPos val="b"/>
        <c:numFmt formatCode="General" sourceLinked="1"/>
        <c:majorTickMark val="out"/>
        <c:minorTickMark val="none"/>
        <c:tickLblPos val="nextTo"/>
        <c:crossAx val="463234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Project.xlsx]Top Customers Charts!PivotTable3</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Customers in Each Customer Segments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7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7B4"/>
          </a:solidFill>
          <a:ln>
            <a:noFill/>
          </a:ln>
          <a:effectLst/>
        </c:spPr>
      </c:pivotFmt>
      <c:pivotFmt>
        <c:idx val="2"/>
        <c:spPr>
          <a:solidFill>
            <a:srgbClr val="1F7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35245098039215"/>
          <c:y val="8.4644444444444467E-2"/>
          <c:w val="0.77382075163398689"/>
          <c:h val="0.89313333333333333"/>
        </c:manualLayout>
      </c:layout>
      <c:barChart>
        <c:barDir val="bar"/>
        <c:grouping val="clustered"/>
        <c:varyColors val="0"/>
        <c:ser>
          <c:idx val="0"/>
          <c:order val="0"/>
          <c:tx>
            <c:strRef>
              <c:f>'Top Customers Charts'!$C$3</c:f>
              <c:strCache>
                <c:ptCount val="1"/>
                <c:pt idx="0">
                  <c:v>Total</c:v>
                </c:pt>
              </c:strCache>
            </c:strRef>
          </c:tx>
          <c:spPr>
            <a:solidFill>
              <a:srgbClr val="1F77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Customers Charts'!$A$4:$B$33</c:f>
              <c:multiLvlStrCache>
                <c:ptCount val="26"/>
                <c:lvl>
                  <c:pt idx="0">
                    <c:v>Karen Hill</c:v>
                  </c:pt>
                  <c:pt idx="1">
                    <c:v>Michael Brown</c:v>
                  </c:pt>
                  <c:pt idx="2">
                    <c:v>Steven Turner</c:v>
                  </c:pt>
                  <c:pt idx="3">
                    <c:v>Mark Carter</c:v>
                  </c:pt>
                  <c:pt idx="4">
                    <c:v>Betty Campbell</c:v>
                  </c:pt>
                  <c:pt idx="5">
                    <c:v>Paul Baker</c:v>
                  </c:pt>
                  <c:pt idx="6">
                    <c:v>Lawrence Reed</c:v>
                  </c:pt>
                  <c:pt idx="7">
                    <c:v>Patricia Moore</c:v>
                  </c:pt>
                  <c:pt idx="8">
                    <c:v>Helen Roberts</c:v>
                  </c:pt>
                  <c:pt idx="9">
                    <c:v>David Martinez</c:v>
                  </c:pt>
                  <c:pt idx="10">
                    <c:v>Mark Carter</c:v>
                  </c:pt>
                  <c:pt idx="11">
                    <c:v>Charles Allen</c:v>
                  </c:pt>
                  <c:pt idx="12">
                    <c:v>Daniel King</c:v>
                  </c:pt>
                  <c:pt idx="13">
                    <c:v>Susan Green</c:v>
                  </c:pt>
                  <c:pt idx="14">
                    <c:v>Sharon Butler</c:v>
                  </c:pt>
                  <c:pt idx="15">
                    <c:v>Cynthia Price</c:v>
                  </c:pt>
                  <c:pt idx="16">
                    <c:v>Joseph Jackson</c:v>
                  </c:pt>
                  <c:pt idx="17">
                    <c:v>Jennifer Taylor</c:v>
                  </c:pt>
                  <c:pt idx="18">
                    <c:v>Virginia Sanders</c:v>
                  </c:pt>
                  <c:pt idx="19">
                    <c:v>Charles Allen</c:v>
                  </c:pt>
                  <c:pt idx="20">
                    <c:v>Peter Richardson</c:v>
                  </c:pt>
                  <c:pt idx="21">
                    <c:v>Lawrence Reed</c:v>
                  </c:pt>
                  <c:pt idx="22">
                    <c:v>Sarah Davis</c:v>
                  </c:pt>
                  <c:pt idx="23">
                    <c:v>Douglas Watson</c:v>
                  </c:pt>
                  <c:pt idx="24">
                    <c:v>Mark Carter</c:v>
                  </c:pt>
                  <c:pt idx="25">
                    <c:v>Lisa Anderson</c:v>
                  </c:pt>
                </c:lvl>
                <c:lvl>
                  <c:pt idx="0">
                    <c:v>Premium</c:v>
                  </c:pt>
                  <c:pt idx="8">
                    <c:v>Standard</c:v>
                  </c:pt>
                  <c:pt idx="18">
                    <c:v>Basic</c:v>
                  </c:pt>
                </c:lvl>
              </c:multiLvlStrCache>
            </c:multiLvlStrRef>
          </c:cat>
          <c:val>
            <c:numRef>
              <c:f>'Top Customers Charts'!$C$4:$C$33</c:f>
              <c:numCache>
                <c:formatCode>General</c:formatCode>
                <c:ptCount val="26"/>
                <c:pt idx="0">
                  <c:v>6</c:v>
                </c:pt>
                <c:pt idx="1">
                  <c:v>5</c:v>
                </c:pt>
                <c:pt idx="2">
                  <c:v>5</c:v>
                </c:pt>
                <c:pt idx="3">
                  <c:v>5</c:v>
                </c:pt>
                <c:pt idx="4">
                  <c:v>4</c:v>
                </c:pt>
                <c:pt idx="5">
                  <c:v>4</c:v>
                </c:pt>
                <c:pt idx="6">
                  <c:v>4</c:v>
                </c:pt>
                <c:pt idx="7">
                  <c:v>4</c:v>
                </c:pt>
                <c:pt idx="8">
                  <c:v>5</c:v>
                </c:pt>
                <c:pt idx="9">
                  <c:v>4</c:v>
                </c:pt>
                <c:pt idx="10">
                  <c:v>4</c:v>
                </c:pt>
                <c:pt idx="11">
                  <c:v>4</c:v>
                </c:pt>
                <c:pt idx="12">
                  <c:v>3</c:v>
                </c:pt>
                <c:pt idx="13">
                  <c:v>3</c:v>
                </c:pt>
                <c:pt idx="14">
                  <c:v>3</c:v>
                </c:pt>
                <c:pt idx="15">
                  <c:v>3</c:v>
                </c:pt>
                <c:pt idx="16">
                  <c:v>3</c:v>
                </c:pt>
                <c:pt idx="17">
                  <c:v>3</c:v>
                </c:pt>
                <c:pt idx="18">
                  <c:v>4</c:v>
                </c:pt>
                <c:pt idx="19">
                  <c:v>4</c:v>
                </c:pt>
                <c:pt idx="20">
                  <c:v>3</c:v>
                </c:pt>
                <c:pt idx="21">
                  <c:v>3</c:v>
                </c:pt>
                <c:pt idx="22">
                  <c:v>3</c:v>
                </c:pt>
                <c:pt idx="23">
                  <c:v>3</c:v>
                </c:pt>
                <c:pt idx="24">
                  <c:v>3</c:v>
                </c:pt>
                <c:pt idx="25">
                  <c:v>3</c:v>
                </c:pt>
              </c:numCache>
            </c:numRef>
          </c:val>
          <c:extLst>
            <c:ext xmlns:c16="http://schemas.microsoft.com/office/drawing/2014/chart" uri="{C3380CC4-5D6E-409C-BE32-E72D297353CC}">
              <c16:uniqueId val="{00000000-5A28-47EA-A993-B3D05F7A2A46}"/>
            </c:ext>
          </c:extLst>
        </c:ser>
        <c:dLbls>
          <c:dLblPos val="outEnd"/>
          <c:showLegendKey val="0"/>
          <c:showVal val="1"/>
          <c:showCatName val="0"/>
          <c:showSerName val="0"/>
          <c:showPercent val="0"/>
          <c:showBubbleSize val="0"/>
        </c:dLbls>
        <c:gapWidth val="182"/>
        <c:axId val="409329328"/>
        <c:axId val="409342288"/>
      </c:barChart>
      <c:catAx>
        <c:axId val="409329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9342288"/>
        <c:crosses val="autoZero"/>
        <c:auto val="1"/>
        <c:lblAlgn val="ctr"/>
        <c:lblOffset val="100"/>
        <c:noMultiLvlLbl val="0"/>
      </c:catAx>
      <c:valAx>
        <c:axId val="409342288"/>
        <c:scaling>
          <c:orientation val="minMax"/>
        </c:scaling>
        <c:delete val="1"/>
        <c:axPos val="b"/>
        <c:numFmt formatCode="General" sourceLinked="1"/>
        <c:majorTickMark val="out"/>
        <c:minorTickMark val="none"/>
        <c:tickLblPos val="nextTo"/>
        <c:crossAx val="40932932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Project.xlsx]Top Customers Charts!PivotTable6</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Customers Different Payment methodwise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 Charts'!$C$36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Customers Charts'!$A$37:$B$61</c:f>
              <c:multiLvlStrCache>
                <c:ptCount val="20"/>
                <c:lvl>
                  <c:pt idx="0">
                    <c:v>Paul Baker</c:v>
                  </c:pt>
                  <c:pt idx="1">
                    <c:v>Mark Carter</c:v>
                  </c:pt>
                  <c:pt idx="2">
                    <c:v>Patricia Moore</c:v>
                  </c:pt>
                  <c:pt idx="3">
                    <c:v>Sandra Phillips</c:v>
                  </c:pt>
                  <c:pt idx="4">
                    <c:v>Dorothy Nelson</c:v>
                  </c:pt>
                  <c:pt idx="5">
                    <c:v>Barbara Young</c:v>
                  </c:pt>
                  <c:pt idx="6">
                    <c:v>Charles Allen</c:v>
                  </c:pt>
                  <c:pt idx="7">
                    <c:v>Betty Campbell</c:v>
                  </c:pt>
                  <c:pt idx="8">
                    <c:v>Michael Brown</c:v>
                  </c:pt>
                  <c:pt idx="9">
                    <c:v>Patricia Moore</c:v>
                  </c:pt>
                  <c:pt idx="10">
                    <c:v>Lawrence Reed</c:v>
                  </c:pt>
                  <c:pt idx="11">
                    <c:v>Gerald Murphy</c:v>
                  </c:pt>
                  <c:pt idx="12">
                    <c:v>Mark Carter</c:v>
                  </c:pt>
                  <c:pt idx="13">
                    <c:v>Daniel King</c:v>
                  </c:pt>
                  <c:pt idx="14">
                    <c:v>Joseph Jackson</c:v>
                  </c:pt>
                  <c:pt idx="15">
                    <c:v>Edward Mitchell</c:v>
                  </c:pt>
                  <c:pt idx="16">
                    <c:v>Harry Morgan</c:v>
                  </c:pt>
                  <c:pt idx="17">
                    <c:v>William White</c:v>
                  </c:pt>
                  <c:pt idx="18">
                    <c:v>Jennifer Taylor</c:v>
                  </c:pt>
                  <c:pt idx="19">
                    <c:v>Sarah Davis</c:v>
                  </c:pt>
                </c:lvl>
                <c:lvl>
                  <c:pt idx="0">
                    <c:v>Credit Card</c:v>
                  </c:pt>
                  <c:pt idx="5">
                    <c:v>Cash</c:v>
                  </c:pt>
                  <c:pt idx="10">
                    <c:v>Debit Card</c:v>
                  </c:pt>
                  <c:pt idx="15">
                    <c:v>PayPal</c:v>
                  </c:pt>
                </c:lvl>
              </c:multiLvlStrCache>
            </c:multiLvlStrRef>
          </c:cat>
          <c:val>
            <c:numRef>
              <c:f>'Top Customers Charts'!$C$37:$C$61</c:f>
              <c:numCache>
                <c:formatCode>General</c:formatCode>
                <c:ptCount val="20"/>
                <c:pt idx="0">
                  <c:v>6829.8499999999995</c:v>
                </c:pt>
                <c:pt idx="1">
                  <c:v>6799.88</c:v>
                </c:pt>
                <c:pt idx="2">
                  <c:v>5949.84</c:v>
                </c:pt>
                <c:pt idx="3">
                  <c:v>5599.88</c:v>
                </c:pt>
                <c:pt idx="4">
                  <c:v>4449.88</c:v>
                </c:pt>
                <c:pt idx="5">
                  <c:v>10199.849999999999</c:v>
                </c:pt>
                <c:pt idx="6">
                  <c:v>4819.7699999999995</c:v>
                </c:pt>
                <c:pt idx="7">
                  <c:v>4499.8999999999996</c:v>
                </c:pt>
                <c:pt idx="8">
                  <c:v>3299.87</c:v>
                </c:pt>
                <c:pt idx="9">
                  <c:v>3249.91</c:v>
                </c:pt>
                <c:pt idx="10">
                  <c:v>5879.869999999999</c:v>
                </c:pt>
                <c:pt idx="11">
                  <c:v>5499.91</c:v>
                </c:pt>
                <c:pt idx="12">
                  <c:v>4999.88</c:v>
                </c:pt>
                <c:pt idx="13">
                  <c:v>4499.95</c:v>
                </c:pt>
                <c:pt idx="14">
                  <c:v>4499.95</c:v>
                </c:pt>
                <c:pt idx="15">
                  <c:v>7999.9</c:v>
                </c:pt>
                <c:pt idx="16">
                  <c:v>4769.92</c:v>
                </c:pt>
                <c:pt idx="17">
                  <c:v>4749.91</c:v>
                </c:pt>
                <c:pt idx="18">
                  <c:v>3499.95</c:v>
                </c:pt>
                <c:pt idx="19">
                  <c:v>2849.92</c:v>
                </c:pt>
              </c:numCache>
            </c:numRef>
          </c:val>
          <c:extLst>
            <c:ext xmlns:c16="http://schemas.microsoft.com/office/drawing/2014/chart" uri="{C3380CC4-5D6E-409C-BE32-E72D297353CC}">
              <c16:uniqueId val="{00000000-80A8-456D-AD87-F8BE80071D49}"/>
            </c:ext>
          </c:extLst>
        </c:ser>
        <c:dLbls>
          <c:dLblPos val="outEnd"/>
          <c:showLegendKey val="0"/>
          <c:showVal val="1"/>
          <c:showCatName val="0"/>
          <c:showSerName val="0"/>
          <c:showPercent val="0"/>
          <c:showBubbleSize val="0"/>
        </c:dLbls>
        <c:gapWidth val="182"/>
        <c:axId val="481417567"/>
        <c:axId val="481419007"/>
      </c:barChart>
      <c:catAx>
        <c:axId val="48141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1419007"/>
        <c:crosses val="autoZero"/>
        <c:auto val="1"/>
        <c:lblAlgn val="ctr"/>
        <c:lblOffset val="100"/>
        <c:noMultiLvlLbl val="0"/>
      </c:catAx>
      <c:valAx>
        <c:axId val="481419007"/>
        <c:scaling>
          <c:orientation val="minMax"/>
        </c:scaling>
        <c:delete val="1"/>
        <c:axPos val="b"/>
        <c:numFmt formatCode="General" sourceLinked="1"/>
        <c:majorTickMark val="none"/>
        <c:minorTickMark val="none"/>
        <c:tickLblPos val="nextTo"/>
        <c:crossAx val="48141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0EE9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Project.xlsx]Total Revenue Charts!product namewise revenue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r>
              <a:rPr lang="en-US" b="1" baseline="0"/>
              <a:t> Product Namewise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002060"/>
          </a:solidFill>
          <a:ln>
            <a:noFill/>
          </a:ln>
          <a:effectLst/>
        </c:spPr>
      </c:pivotFmt>
      <c:pivotFmt>
        <c:idx val="3"/>
        <c:spPr>
          <a:solidFill>
            <a:schemeClr val="accent6">
              <a:lumMod val="60000"/>
              <a:lumOff val="40000"/>
            </a:schemeClr>
          </a:solidFill>
          <a:ln>
            <a:noFill/>
          </a:ln>
          <a:effectLst/>
        </c:spPr>
      </c:pivotFmt>
      <c:pivotFmt>
        <c:idx val="4"/>
        <c:spPr>
          <a:solidFill>
            <a:schemeClr val="bg2">
              <a:lumMod val="65000"/>
            </a:schemeClr>
          </a:solidFill>
          <a:ln>
            <a:noFill/>
          </a:ln>
          <a:effectLst/>
        </c:spPr>
      </c:pivotFmt>
      <c:pivotFmt>
        <c:idx val="5"/>
        <c:spPr>
          <a:solidFill>
            <a:srgbClr val="7030A0"/>
          </a:solidFill>
          <a:ln>
            <a:noFill/>
          </a:ln>
          <a:effectLst/>
        </c:spPr>
      </c:pivotFmt>
      <c:pivotFmt>
        <c:idx val="6"/>
        <c:spPr>
          <a:solidFill>
            <a:srgbClr val="FF0000"/>
          </a:solidFill>
          <a:ln>
            <a:noFill/>
          </a:ln>
          <a:effectLst/>
        </c:spPr>
      </c:pivotFmt>
      <c:pivotFmt>
        <c:idx val="7"/>
        <c:spPr>
          <a:solidFill>
            <a:srgbClr val="0070C0"/>
          </a:solidFill>
          <a:ln>
            <a:noFill/>
          </a:ln>
          <a:effectLst/>
        </c:spPr>
      </c:pivotFmt>
      <c:pivotFmt>
        <c:idx val="8"/>
        <c:spPr>
          <a:solidFill>
            <a:srgbClr val="006600"/>
          </a:solidFill>
          <a:ln>
            <a:noFill/>
          </a:ln>
          <a:effectLst/>
        </c:spPr>
      </c:pivotFmt>
      <c:pivotFmt>
        <c:idx val="9"/>
        <c:spPr>
          <a:solidFill>
            <a:schemeClr val="accent6"/>
          </a:solidFill>
          <a:ln>
            <a:noFill/>
          </a:ln>
          <a:effectLst/>
        </c:spPr>
      </c:pivotFmt>
      <c:pivotFmt>
        <c:idx val="10"/>
        <c:spPr>
          <a:solidFill>
            <a:schemeClr val="tx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pivotFmt>
      <c:pivotFmt>
        <c:idx val="13"/>
        <c:spPr>
          <a:solidFill>
            <a:srgbClr val="002060"/>
          </a:solidFill>
          <a:ln>
            <a:noFill/>
          </a:ln>
          <a:effectLst/>
        </c:spPr>
      </c:pivotFmt>
      <c:pivotFmt>
        <c:idx val="14"/>
        <c:spPr>
          <a:solidFill>
            <a:schemeClr val="accent6">
              <a:lumMod val="60000"/>
              <a:lumOff val="40000"/>
            </a:schemeClr>
          </a:solidFill>
          <a:ln>
            <a:noFill/>
          </a:ln>
          <a:effectLst/>
        </c:spPr>
      </c:pivotFmt>
      <c:pivotFmt>
        <c:idx val="15"/>
        <c:spPr>
          <a:solidFill>
            <a:schemeClr val="bg2">
              <a:lumMod val="65000"/>
            </a:schemeClr>
          </a:solidFill>
          <a:ln>
            <a:noFill/>
          </a:ln>
          <a:effectLst/>
        </c:spPr>
      </c:pivotFmt>
      <c:pivotFmt>
        <c:idx val="16"/>
        <c:spPr>
          <a:solidFill>
            <a:srgbClr val="7030A0"/>
          </a:solidFill>
          <a:ln>
            <a:noFill/>
          </a:ln>
          <a:effectLst/>
        </c:spPr>
      </c:pivotFmt>
      <c:pivotFmt>
        <c:idx val="17"/>
        <c:spPr>
          <a:solidFill>
            <a:srgbClr val="FF0000"/>
          </a:solidFill>
          <a:ln>
            <a:noFill/>
          </a:ln>
          <a:effectLst/>
        </c:spPr>
      </c:pivotFmt>
      <c:pivotFmt>
        <c:idx val="18"/>
        <c:spPr>
          <a:solidFill>
            <a:srgbClr val="0070C0"/>
          </a:solidFill>
          <a:ln>
            <a:noFill/>
          </a:ln>
          <a:effectLst/>
        </c:spPr>
      </c:pivotFmt>
      <c:pivotFmt>
        <c:idx val="19"/>
        <c:spPr>
          <a:solidFill>
            <a:srgbClr val="006600"/>
          </a:solidFill>
          <a:ln>
            <a:noFill/>
          </a:ln>
          <a:effectLst/>
        </c:spPr>
      </c:pivotFmt>
      <c:pivotFmt>
        <c:idx val="20"/>
        <c:spPr>
          <a:solidFill>
            <a:schemeClr val="accent6"/>
          </a:solidFill>
          <a:ln>
            <a:noFill/>
          </a:ln>
          <a:effectLst/>
        </c:spPr>
      </c:pivotFmt>
      <c:pivotFmt>
        <c:idx val="21"/>
        <c:spPr>
          <a:solidFill>
            <a:schemeClr val="tx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92D050"/>
          </a:solidFill>
          <a:ln>
            <a:noFill/>
          </a:ln>
          <a:effectLst/>
        </c:spPr>
      </c:pivotFmt>
      <c:pivotFmt>
        <c:idx val="24"/>
        <c:spPr>
          <a:solidFill>
            <a:srgbClr val="002060"/>
          </a:solidFill>
          <a:ln>
            <a:noFill/>
          </a:ln>
          <a:effectLst/>
        </c:spPr>
      </c:pivotFmt>
      <c:pivotFmt>
        <c:idx val="25"/>
        <c:spPr>
          <a:solidFill>
            <a:schemeClr val="accent6">
              <a:lumMod val="60000"/>
              <a:lumOff val="40000"/>
            </a:schemeClr>
          </a:solidFill>
          <a:ln>
            <a:noFill/>
          </a:ln>
          <a:effectLst/>
        </c:spPr>
      </c:pivotFmt>
      <c:pivotFmt>
        <c:idx val="26"/>
        <c:spPr>
          <a:solidFill>
            <a:schemeClr val="bg2">
              <a:lumMod val="65000"/>
            </a:schemeClr>
          </a:solidFill>
          <a:ln>
            <a:noFill/>
          </a:ln>
          <a:effectLst/>
        </c:spPr>
      </c:pivotFmt>
      <c:pivotFmt>
        <c:idx val="27"/>
        <c:spPr>
          <a:solidFill>
            <a:srgbClr val="7030A0"/>
          </a:solidFill>
          <a:ln>
            <a:noFill/>
          </a:ln>
          <a:effectLst/>
        </c:spPr>
      </c:pivotFmt>
      <c:pivotFmt>
        <c:idx val="28"/>
        <c:spPr>
          <a:solidFill>
            <a:srgbClr val="FF0000"/>
          </a:solidFill>
          <a:ln>
            <a:noFill/>
          </a:ln>
          <a:effectLst/>
        </c:spPr>
      </c:pivotFmt>
      <c:pivotFmt>
        <c:idx val="29"/>
        <c:spPr>
          <a:solidFill>
            <a:srgbClr val="0070C0"/>
          </a:solidFill>
          <a:ln>
            <a:noFill/>
          </a:ln>
          <a:effectLst/>
        </c:spPr>
      </c:pivotFmt>
      <c:pivotFmt>
        <c:idx val="30"/>
        <c:spPr>
          <a:solidFill>
            <a:srgbClr val="006600"/>
          </a:solidFill>
          <a:ln>
            <a:noFill/>
          </a:ln>
          <a:effectLst/>
        </c:spPr>
      </c:pivotFmt>
      <c:pivotFmt>
        <c:idx val="31"/>
        <c:spPr>
          <a:solidFill>
            <a:schemeClr val="accent6"/>
          </a:solidFill>
          <a:ln>
            <a:noFill/>
          </a:ln>
          <a:effectLst/>
        </c:spPr>
      </c:pivotFmt>
      <c:pivotFmt>
        <c:idx val="32"/>
        <c:spPr>
          <a:solidFill>
            <a:schemeClr val="tx1"/>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2D050"/>
          </a:solidFill>
          <a:ln>
            <a:noFill/>
          </a:ln>
          <a:effectLst/>
        </c:spPr>
      </c:pivotFmt>
      <c:pivotFmt>
        <c:idx val="35"/>
        <c:spPr>
          <a:solidFill>
            <a:srgbClr val="002060"/>
          </a:solidFill>
          <a:ln>
            <a:noFill/>
          </a:ln>
          <a:effectLst/>
        </c:spPr>
      </c:pivotFmt>
      <c:pivotFmt>
        <c:idx val="36"/>
        <c:spPr>
          <a:solidFill>
            <a:schemeClr val="accent6">
              <a:lumMod val="60000"/>
              <a:lumOff val="40000"/>
            </a:schemeClr>
          </a:solidFill>
          <a:ln>
            <a:noFill/>
          </a:ln>
          <a:effectLst/>
        </c:spPr>
      </c:pivotFmt>
      <c:pivotFmt>
        <c:idx val="37"/>
        <c:spPr>
          <a:solidFill>
            <a:schemeClr val="bg2">
              <a:lumMod val="65000"/>
            </a:schemeClr>
          </a:solidFill>
          <a:ln>
            <a:noFill/>
          </a:ln>
          <a:effectLst/>
        </c:spPr>
      </c:pivotFmt>
      <c:pivotFmt>
        <c:idx val="38"/>
        <c:spPr>
          <a:solidFill>
            <a:srgbClr val="7030A0"/>
          </a:solidFill>
          <a:ln>
            <a:noFill/>
          </a:ln>
          <a:effectLst/>
        </c:spPr>
      </c:pivotFmt>
      <c:pivotFmt>
        <c:idx val="39"/>
        <c:spPr>
          <a:solidFill>
            <a:srgbClr val="FF0000"/>
          </a:solidFill>
          <a:ln>
            <a:noFill/>
          </a:ln>
          <a:effectLst/>
        </c:spPr>
      </c:pivotFmt>
      <c:pivotFmt>
        <c:idx val="40"/>
        <c:spPr>
          <a:solidFill>
            <a:srgbClr val="0070C0"/>
          </a:solidFill>
          <a:ln>
            <a:noFill/>
          </a:ln>
          <a:effectLst/>
        </c:spPr>
      </c:pivotFmt>
      <c:pivotFmt>
        <c:idx val="41"/>
        <c:spPr>
          <a:solidFill>
            <a:srgbClr val="006600"/>
          </a:solidFill>
          <a:ln>
            <a:noFill/>
          </a:ln>
          <a:effectLst/>
        </c:spPr>
      </c:pivotFmt>
      <c:pivotFmt>
        <c:idx val="42"/>
        <c:spPr>
          <a:solidFill>
            <a:schemeClr val="accent6"/>
          </a:solidFill>
          <a:ln>
            <a:noFill/>
          </a:ln>
          <a:effectLst/>
        </c:spPr>
      </c:pivotFmt>
      <c:pivotFmt>
        <c:idx val="43"/>
        <c:spPr>
          <a:solidFill>
            <a:schemeClr val="tx1"/>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92D050"/>
          </a:solidFill>
          <a:ln>
            <a:noFill/>
          </a:ln>
          <a:effectLst/>
        </c:spPr>
      </c:pivotFmt>
      <c:pivotFmt>
        <c:idx val="46"/>
        <c:spPr>
          <a:solidFill>
            <a:srgbClr val="002060"/>
          </a:solidFill>
          <a:ln>
            <a:noFill/>
          </a:ln>
          <a:effectLst/>
        </c:spPr>
      </c:pivotFmt>
      <c:pivotFmt>
        <c:idx val="47"/>
        <c:spPr>
          <a:solidFill>
            <a:schemeClr val="accent6">
              <a:lumMod val="60000"/>
              <a:lumOff val="40000"/>
            </a:schemeClr>
          </a:solidFill>
          <a:ln>
            <a:noFill/>
          </a:ln>
          <a:effectLst/>
        </c:spPr>
      </c:pivotFmt>
      <c:pivotFmt>
        <c:idx val="48"/>
        <c:spPr>
          <a:solidFill>
            <a:schemeClr val="bg2">
              <a:lumMod val="65000"/>
            </a:schemeClr>
          </a:solidFill>
          <a:ln>
            <a:noFill/>
          </a:ln>
          <a:effectLst/>
        </c:spPr>
      </c:pivotFmt>
      <c:pivotFmt>
        <c:idx val="49"/>
        <c:spPr>
          <a:solidFill>
            <a:srgbClr val="7030A0"/>
          </a:solidFill>
          <a:ln>
            <a:noFill/>
          </a:ln>
          <a:effectLst/>
        </c:spPr>
      </c:pivotFmt>
      <c:pivotFmt>
        <c:idx val="50"/>
        <c:spPr>
          <a:solidFill>
            <a:srgbClr val="FF0000"/>
          </a:solidFill>
          <a:ln>
            <a:noFill/>
          </a:ln>
          <a:effectLst/>
        </c:spPr>
      </c:pivotFmt>
      <c:pivotFmt>
        <c:idx val="51"/>
        <c:spPr>
          <a:solidFill>
            <a:srgbClr val="0070C0"/>
          </a:solidFill>
          <a:ln>
            <a:noFill/>
          </a:ln>
          <a:effectLst/>
        </c:spPr>
      </c:pivotFmt>
      <c:pivotFmt>
        <c:idx val="52"/>
        <c:spPr>
          <a:solidFill>
            <a:srgbClr val="006600"/>
          </a:solidFill>
          <a:ln>
            <a:noFill/>
          </a:ln>
          <a:effectLst/>
        </c:spPr>
      </c:pivotFmt>
      <c:pivotFmt>
        <c:idx val="53"/>
        <c:spPr>
          <a:solidFill>
            <a:schemeClr val="accent6"/>
          </a:solidFill>
          <a:ln>
            <a:noFill/>
          </a:ln>
          <a:effectLst/>
        </c:spPr>
      </c:pivotFmt>
      <c:pivotFmt>
        <c:idx val="54"/>
        <c:spPr>
          <a:solidFill>
            <a:schemeClr val="tx1"/>
          </a:solidFill>
          <a:ln>
            <a:noFill/>
          </a:ln>
          <a:effectLst/>
        </c:spPr>
      </c:pivotFmt>
    </c:pivotFmts>
    <c:plotArea>
      <c:layout/>
      <c:barChart>
        <c:barDir val="bar"/>
        <c:grouping val="clustered"/>
        <c:varyColors val="0"/>
        <c:ser>
          <c:idx val="0"/>
          <c:order val="0"/>
          <c:tx>
            <c:strRef>
              <c:f>'Total Revenue Charts'!$B$43</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930C-4309-B6F2-DA2569A55CB8}"/>
              </c:ext>
            </c:extLst>
          </c:dPt>
          <c:dPt>
            <c:idx val="1"/>
            <c:invertIfNegative val="0"/>
            <c:bubble3D val="0"/>
            <c:spPr>
              <a:solidFill>
                <a:schemeClr val="tx1"/>
              </a:solidFill>
              <a:ln>
                <a:noFill/>
              </a:ln>
              <a:effectLst/>
            </c:spPr>
            <c:extLst>
              <c:ext xmlns:c16="http://schemas.microsoft.com/office/drawing/2014/chart" uri="{C3380CC4-5D6E-409C-BE32-E72D297353CC}">
                <c16:uniqueId val="{00000003-930C-4309-B6F2-DA2569A55CB8}"/>
              </c:ext>
            </c:extLst>
          </c:dPt>
          <c:dPt>
            <c:idx val="2"/>
            <c:invertIfNegative val="0"/>
            <c:bubble3D val="0"/>
            <c:spPr>
              <a:solidFill>
                <a:schemeClr val="bg2">
                  <a:lumMod val="65000"/>
                </a:schemeClr>
              </a:solidFill>
              <a:ln>
                <a:noFill/>
              </a:ln>
              <a:effectLst/>
            </c:spPr>
            <c:extLst>
              <c:ext xmlns:c16="http://schemas.microsoft.com/office/drawing/2014/chart" uri="{C3380CC4-5D6E-409C-BE32-E72D297353CC}">
                <c16:uniqueId val="{00000005-930C-4309-B6F2-DA2569A55CB8}"/>
              </c:ext>
            </c:extLst>
          </c:dPt>
          <c:dPt>
            <c:idx val="3"/>
            <c:invertIfNegative val="0"/>
            <c:bubble3D val="0"/>
            <c:spPr>
              <a:solidFill>
                <a:srgbClr val="006600"/>
              </a:solidFill>
              <a:ln>
                <a:noFill/>
              </a:ln>
              <a:effectLst/>
            </c:spPr>
            <c:extLst>
              <c:ext xmlns:c16="http://schemas.microsoft.com/office/drawing/2014/chart" uri="{C3380CC4-5D6E-409C-BE32-E72D297353CC}">
                <c16:uniqueId val="{00000007-930C-4309-B6F2-DA2569A55CB8}"/>
              </c:ext>
            </c:extLst>
          </c:dPt>
          <c:dPt>
            <c:idx val="4"/>
            <c:invertIfNegative val="0"/>
            <c:bubble3D val="0"/>
            <c:spPr>
              <a:solidFill>
                <a:srgbClr val="002060"/>
              </a:solidFill>
              <a:ln>
                <a:noFill/>
              </a:ln>
              <a:effectLst/>
            </c:spPr>
            <c:extLst>
              <c:ext xmlns:c16="http://schemas.microsoft.com/office/drawing/2014/chart" uri="{C3380CC4-5D6E-409C-BE32-E72D297353CC}">
                <c16:uniqueId val="{00000009-930C-4309-B6F2-DA2569A55CB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30C-4309-B6F2-DA2569A55CB8}"/>
              </c:ext>
            </c:extLst>
          </c:dPt>
          <c:dPt>
            <c:idx val="6"/>
            <c:invertIfNegative val="0"/>
            <c:bubble3D val="0"/>
            <c:spPr>
              <a:solidFill>
                <a:srgbClr val="FF0000"/>
              </a:solidFill>
              <a:ln>
                <a:noFill/>
              </a:ln>
              <a:effectLst/>
            </c:spPr>
            <c:extLst>
              <c:ext xmlns:c16="http://schemas.microsoft.com/office/drawing/2014/chart" uri="{C3380CC4-5D6E-409C-BE32-E72D297353CC}">
                <c16:uniqueId val="{0000000D-930C-4309-B6F2-DA2569A55CB8}"/>
              </c:ext>
            </c:extLst>
          </c:dPt>
          <c:dPt>
            <c:idx val="7"/>
            <c:invertIfNegative val="0"/>
            <c:bubble3D val="0"/>
            <c:spPr>
              <a:solidFill>
                <a:srgbClr val="7030A0"/>
              </a:solidFill>
              <a:ln>
                <a:noFill/>
              </a:ln>
              <a:effectLst/>
            </c:spPr>
            <c:extLst>
              <c:ext xmlns:c16="http://schemas.microsoft.com/office/drawing/2014/chart" uri="{C3380CC4-5D6E-409C-BE32-E72D297353CC}">
                <c16:uniqueId val="{0000000F-930C-4309-B6F2-DA2569A55CB8}"/>
              </c:ext>
            </c:extLst>
          </c:dPt>
          <c:dPt>
            <c:idx val="8"/>
            <c:invertIfNegative val="0"/>
            <c:bubble3D val="0"/>
            <c:spPr>
              <a:solidFill>
                <a:srgbClr val="92D050"/>
              </a:solidFill>
              <a:ln>
                <a:noFill/>
              </a:ln>
              <a:effectLst/>
            </c:spPr>
            <c:extLst>
              <c:ext xmlns:c16="http://schemas.microsoft.com/office/drawing/2014/chart" uri="{C3380CC4-5D6E-409C-BE32-E72D297353CC}">
                <c16:uniqueId val="{00000011-930C-4309-B6F2-DA2569A55CB8}"/>
              </c:ext>
            </c:extLst>
          </c:dPt>
          <c:dPt>
            <c:idx val="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3-930C-4309-B6F2-DA2569A55C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 Charts'!$A$44:$A$54</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'Total Revenue Charts'!$B$44:$B$54</c:f>
              <c:numCache>
                <c:formatCode>General</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14-930C-4309-B6F2-DA2569A55CB8}"/>
            </c:ext>
          </c:extLst>
        </c:ser>
        <c:dLbls>
          <c:dLblPos val="outEnd"/>
          <c:showLegendKey val="0"/>
          <c:showVal val="1"/>
          <c:showCatName val="0"/>
          <c:showSerName val="0"/>
          <c:showPercent val="0"/>
          <c:showBubbleSize val="0"/>
        </c:dLbls>
        <c:gapWidth val="182"/>
        <c:axId val="2089039407"/>
        <c:axId val="2089040367"/>
      </c:barChart>
      <c:catAx>
        <c:axId val="208903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89040367"/>
        <c:crosses val="autoZero"/>
        <c:auto val="1"/>
        <c:lblAlgn val="ctr"/>
        <c:lblOffset val="100"/>
        <c:noMultiLvlLbl val="0"/>
      </c:catAx>
      <c:valAx>
        <c:axId val="2089040367"/>
        <c:scaling>
          <c:orientation val="minMax"/>
        </c:scaling>
        <c:delete val="1"/>
        <c:axPos val="b"/>
        <c:numFmt formatCode="General" sourceLinked="1"/>
        <c:majorTickMark val="none"/>
        <c:minorTickMark val="none"/>
        <c:tickLblPos val="nextTo"/>
        <c:crossAx val="208903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 Final Project.xlsx]Total Revenue Charts!datewise revenue</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258335531025129E-3"/>
              <c:y val="-7.63542578011082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014033831895418E-2"/>
              <c:y val="-0.12265055409740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982135905260641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071450099837998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982135905260641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014033831895418E-2"/>
              <c:y val="-0.12265055409740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071450099837998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258335531025129E-3"/>
              <c:y val="-7.63542578011082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982135905260641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014033831895418E-2"/>
              <c:y val="-0.12265055409740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071450099837998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258335531025129E-3"/>
              <c:y val="-7.63542578011082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982135905260641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014033831895418E-2"/>
              <c:y val="-0.12265055409740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071450099837998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258335531025129E-3"/>
              <c:y val="-7.63542578011082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4982135905260641E-2"/>
              <c:y val="-6.2465368912219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014033831895418E-2"/>
              <c:y val="-0.12265055409740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7071450099837998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258335531025129E-3"/>
              <c:y val="-7.63542578011082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Charts'!$C$61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5"/>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1-FABC-4CC6-BF00-0F0573625542}"/>
              </c:ext>
            </c:extLst>
          </c:dPt>
          <c:dPt>
            <c:idx val="7"/>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FABC-4CC6-BF00-0F0573625542}"/>
              </c:ext>
            </c:extLst>
          </c:dPt>
          <c:dPt>
            <c:idx val="1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FABC-4CC6-BF00-0F0573625542}"/>
              </c:ext>
            </c:extLst>
          </c:dPt>
          <c:dPt>
            <c:idx val="1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7-FABC-4CC6-BF00-0F0573625542}"/>
              </c:ext>
            </c:extLst>
          </c:dPt>
          <c:dLbls>
            <c:dLbl>
              <c:idx val="5"/>
              <c:layout>
                <c:manualLayout>
                  <c:x val="-6.4982135905260641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BC-4CC6-BF00-0F0573625542}"/>
                </c:ext>
              </c:extLst>
            </c:dLbl>
            <c:dLbl>
              <c:idx val="7"/>
              <c:layout>
                <c:manualLayout>
                  <c:x val="-5.5014033831895418E-2"/>
                  <c:y val="-0.12265055409740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BC-4CC6-BF00-0F0573625542}"/>
                </c:ext>
              </c:extLst>
            </c:dLbl>
            <c:dLbl>
              <c:idx val="10"/>
              <c:layout>
                <c:manualLayout>
                  <c:x val="-3.7071450099837998E-2"/>
                  <c:y val="-7.6354257801108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BC-4CC6-BF00-0F0573625542}"/>
                </c:ext>
              </c:extLst>
            </c:dLbl>
            <c:dLbl>
              <c:idx val="12"/>
              <c:layout>
                <c:manualLayout>
                  <c:x val="-1.258335531025129E-3"/>
                  <c:y val="-7.63542578011082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BC-4CC6-BF00-0F0573625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'Total Revenue Charts'!$A$62:$B$77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'Total Revenue Charts'!$C$62:$C$77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8-FABC-4CC6-BF00-0F0573625542}"/>
            </c:ext>
          </c:extLst>
        </c:ser>
        <c:dLbls>
          <c:dLblPos val="t"/>
          <c:showLegendKey val="0"/>
          <c:showVal val="1"/>
          <c:showCatName val="0"/>
          <c:showSerName val="0"/>
          <c:showPercent val="0"/>
          <c:showBubbleSize val="0"/>
        </c:dLbls>
        <c:marker val="1"/>
        <c:smooth val="0"/>
        <c:axId val="463057199"/>
        <c:axId val="217220639"/>
      </c:lineChart>
      <c:catAx>
        <c:axId val="463057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220639"/>
        <c:crosses val="autoZero"/>
        <c:auto val="1"/>
        <c:lblAlgn val="ctr"/>
        <c:lblOffset val="100"/>
        <c:noMultiLvlLbl val="0"/>
      </c:catAx>
      <c:valAx>
        <c:axId val="217220639"/>
        <c:scaling>
          <c:orientation val="minMax"/>
        </c:scaling>
        <c:delete val="1"/>
        <c:axPos val="l"/>
        <c:numFmt formatCode="General" sourceLinked="1"/>
        <c:majorTickMark val="none"/>
        <c:minorTickMark val="none"/>
        <c:tickLblPos val="nextTo"/>
        <c:crossAx val="46305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Project.xlsx]Top Customers Charts!PivotTable7</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Customers Regionwise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 Charts'!$C$64</c:f>
              <c:strCache>
                <c:ptCount val="1"/>
                <c:pt idx="0">
                  <c:v>Total</c:v>
                </c:pt>
              </c:strCache>
            </c:strRef>
          </c:tx>
          <c:spPr>
            <a:solidFill>
              <a:srgbClr val="4CAF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Customers Charts'!$A$65:$B$96</c:f>
              <c:multiLvlStrCache>
                <c:ptCount val="26"/>
                <c:lvl>
                  <c:pt idx="0">
                    <c:v>Patricia Moore</c:v>
                  </c:pt>
                  <c:pt idx="1">
                    <c:v>Barbara Young</c:v>
                  </c:pt>
                  <c:pt idx="2">
                    <c:v>Daniel King</c:v>
                  </c:pt>
                  <c:pt idx="3">
                    <c:v>Edward Mitchell</c:v>
                  </c:pt>
                  <c:pt idx="4">
                    <c:v>Gerald Murphy</c:v>
                  </c:pt>
                  <c:pt idx="5">
                    <c:v>Harry Morgan</c:v>
                  </c:pt>
                  <c:pt idx="6">
                    <c:v>Dorothy Nelson</c:v>
                  </c:pt>
                  <c:pt idx="7">
                    <c:v>Betty Campbell</c:v>
                  </c:pt>
                  <c:pt idx="8">
                    <c:v>Sandra Phillips</c:v>
                  </c:pt>
                  <c:pt idx="9">
                    <c:v>Mark Carter</c:v>
                  </c:pt>
                  <c:pt idx="10">
                    <c:v>Douglas Watson</c:v>
                  </c:pt>
                  <c:pt idx="11">
                    <c:v>Mark Carter</c:v>
                  </c:pt>
                  <c:pt idx="12">
                    <c:v>Barbara Young</c:v>
                  </c:pt>
                  <c:pt idx="13">
                    <c:v>Jennifer Taylor</c:v>
                  </c:pt>
                  <c:pt idx="14">
                    <c:v>Karen Hill</c:v>
                  </c:pt>
                  <c:pt idx="15">
                    <c:v>George Adams</c:v>
                  </c:pt>
                  <c:pt idx="16">
                    <c:v>Paul Baker</c:v>
                  </c:pt>
                  <c:pt idx="17">
                    <c:v>Joseph Jackson</c:v>
                  </c:pt>
                  <c:pt idx="18">
                    <c:v>Edward Mitchell</c:v>
                  </c:pt>
                  <c:pt idx="19">
                    <c:v>Helen Roberts</c:v>
                  </c:pt>
                  <c:pt idx="20">
                    <c:v>Virginia Sanders</c:v>
                  </c:pt>
                  <c:pt idx="21">
                    <c:v>William White</c:v>
                  </c:pt>
                  <c:pt idx="22">
                    <c:v>Edward Mitchell</c:v>
                  </c:pt>
                  <c:pt idx="23">
                    <c:v>Raymond Ross</c:v>
                  </c:pt>
                  <c:pt idx="24">
                    <c:v>Dorothy Nelson</c:v>
                  </c:pt>
                  <c:pt idx="25">
                    <c:v>Nancy Collins</c:v>
                  </c:pt>
                </c:lvl>
                <c:lvl>
                  <c:pt idx="0">
                    <c:v>East</c:v>
                  </c:pt>
                  <c:pt idx="6">
                    <c:v>North</c:v>
                  </c:pt>
                  <c:pt idx="11">
                    <c:v>West</c:v>
                  </c:pt>
                  <c:pt idx="16">
                    <c:v>South</c:v>
                  </c:pt>
                  <c:pt idx="21">
                    <c:v>Central</c:v>
                  </c:pt>
                </c:lvl>
              </c:multiLvlStrCache>
            </c:multiLvlStrRef>
          </c:cat>
          <c:val>
            <c:numRef>
              <c:f>'Top Customers Charts'!$C$65:$C$96</c:f>
              <c:numCache>
                <c:formatCode>General</c:formatCode>
                <c:ptCount val="26"/>
                <c:pt idx="0">
                  <c:v>7299.89</c:v>
                </c:pt>
                <c:pt idx="1">
                  <c:v>6199.92</c:v>
                </c:pt>
                <c:pt idx="2">
                  <c:v>4949.8999999999996</c:v>
                </c:pt>
                <c:pt idx="3">
                  <c:v>4739.91</c:v>
                </c:pt>
                <c:pt idx="4">
                  <c:v>4499.95</c:v>
                </c:pt>
                <c:pt idx="5">
                  <c:v>4499.95</c:v>
                </c:pt>
                <c:pt idx="6">
                  <c:v>5499.93</c:v>
                </c:pt>
                <c:pt idx="7">
                  <c:v>5499.86</c:v>
                </c:pt>
                <c:pt idx="8">
                  <c:v>5449.86</c:v>
                </c:pt>
                <c:pt idx="9">
                  <c:v>4699.87</c:v>
                </c:pt>
                <c:pt idx="10">
                  <c:v>3349.92</c:v>
                </c:pt>
                <c:pt idx="11">
                  <c:v>10599.819999999998</c:v>
                </c:pt>
                <c:pt idx="12">
                  <c:v>3499.95</c:v>
                </c:pt>
                <c:pt idx="13">
                  <c:v>3499.95</c:v>
                </c:pt>
                <c:pt idx="14">
                  <c:v>3159.91</c:v>
                </c:pt>
                <c:pt idx="15">
                  <c:v>2699.97</c:v>
                </c:pt>
                <c:pt idx="16">
                  <c:v>5749.9</c:v>
                </c:pt>
                <c:pt idx="17">
                  <c:v>4799.93</c:v>
                </c:pt>
                <c:pt idx="18">
                  <c:v>3679.93</c:v>
                </c:pt>
                <c:pt idx="19">
                  <c:v>3599.96</c:v>
                </c:pt>
                <c:pt idx="20">
                  <c:v>3349.88</c:v>
                </c:pt>
                <c:pt idx="21">
                  <c:v>3599.96</c:v>
                </c:pt>
                <c:pt idx="22">
                  <c:v>3499.93</c:v>
                </c:pt>
                <c:pt idx="23">
                  <c:v>2799.96</c:v>
                </c:pt>
                <c:pt idx="24">
                  <c:v>2649.88</c:v>
                </c:pt>
                <c:pt idx="25">
                  <c:v>2249.88</c:v>
                </c:pt>
              </c:numCache>
            </c:numRef>
          </c:val>
          <c:extLst>
            <c:ext xmlns:c16="http://schemas.microsoft.com/office/drawing/2014/chart" uri="{C3380CC4-5D6E-409C-BE32-E72D297353CC}">
              <c16:uniqueId val="{00000000-33E2-4706-B508-92567D3A528C}"/>
            </c:ext>
          </c:extLst>
        </c:ser>
        <c:dLbls>
          <c:dLblPos val="outEnd"/>
          <c:showLegendKey val="0"/>
          <c:showVal val="1"/>
          <c:showCatName val="0"/>
          <c:showSerName val="0"/>
          <c:showPercent val="0"/>
          <c:showBubbleSize val="0"/>
        </c:dLbls>
        <c:gapWidth val="182"/>
        <c:axId val="818210576"/>
        <c:axId val="818207216"/>
      </c:barChart>
      <c:catAx>
        <c:axId val="81821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8207216"/>
        <c:crosses val="autoZero"/>
        <c:auto val="1"/>
        <c:lblAlgn val="ctr"/>
        <c:lblOffset val="100"/>
        <c:noMultiLvlLbl val="0"/>
      </c:catAx>
      <c:valAx>
        <c:axId val="818207216"/>
        <c:scaling>
          <c:orientation val="minMax"/>
        </c:scaling>
        <c:delete val="1"/>
        <c:axPos val="b"/>
        <c:numFmt formatCode="General" sourceLinked="1"/>
        <c:majorTickMark val="none"/>
        <c:minorTickMark val="none"/>
        <c:tickLblPos val="nextTo"/>
        <c:crossAx val="818210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F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Project.xlsx]Most Sold Products Charts!PivotTable1</c:name>
    <c:fmtId val="3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Most Sold</a:t>
            </a:r>
            <a:r>
              <a:rPr lang="en-US" baseline="0"/>
              <a:t> Products According Different Payment Methods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Sold Products Charts'!$C$3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'Most Sold Products Charts'!$A$4:$B$48</c:f>
              <c:multiLvlStrCache>
                <c:ptCount val="40"/>
                <c:lvl>
                  <c:pt idx="0">
                    <c:v>Blender</c:v>
                  </c:pt>
                  <c:pt idx="1">
                    <c:v>Bookshelf</c:v>
                  </c:pt>
                  <c:pt idx="2">
                    <c:v>Smartphone</c:v>
                  </c:pt>
                  <c:pt idx="3">
                    <c:v>Desk</c:v>
                  </c:pt>
                  <c:pt idx="4">
                    <c:v>Office Chair</c:v>
                  </c:pt>
                  <c:pt idx="5">
                    <c:v>Monitor</c:v>
                  </c:pt>
                  <c:pt idx="6">
                    <c:v>Coffee Maker</c:v>
                  </c:pt>
                  <c:pt idx="7">
                    <c:v>Keyboard</c:v>
                  </c:pt>
                  <c:pt idx="8">
                    <c:v>Headphones</c:v>
                  </c:pt>
                  <c:pt idx="9">
                    <c:v>Laptop</c:v>
                  </c:pt>
                  <c:pt idx="10">
                    <c:v>Monitor</c:v>
                  </c:pt>
                  <c:pt idx="11">
                    <c:v>Keyboard</c:v>
                  </c:pt>
                  <c:pt idx="12">
                    <c:v>Desk</c:v>
                  </c:pt>
                  <c:pt idx="13">
                    <c:v>Bookshelf</c:v>
                  </c:pt>
                  <c:pt idx="14">
                    <c:v>Smartphone</c:v>
                  </c:pt>
                  <c:pt idx="15">
                    <c:v>Laptop</c:v>
                  </c:pt>
                  <c:pt idx="16">
                    <c:v>Blender</c:v>
                  </c:pt>
                  <c:pt idx="17">
                    <c:v>Coffee Maker</c:v>
                  </c:pt>
                  <c:pt idx="18">
                    <c:v>Headphones</c:v>
                  </c:pt>
                  <c:pt idx="19">
                    <c:v>Office Chair</c:v>
                  </c:pt>
                  <c:pt idx="20">
                    <c:v>Blender</c:v>
                  </c:pt>
                  <c:pt idx="21">
                    <c:v>Keyboard</c:v>
                  </c:pt>
                  <c:pt idx="22">
                    <c:v>Laptop</c:v>
                  </c:pt>
                  <c:pt idx="23">
                    <c:v>Bookshelf</c:v>
                  </c:pt>
                  <c:pt idx="24">
                    <c:v>Smartphone</c:v>
                  </c:pt>
                  <c:pt idx="25">
                    <c:v>Office Chair</c:v>
                  </c:pt>
                  <c:pt idx="26">
                    <c:v>Desk</c:v>
                  </c:pt>
                  <c:pt idx="27">
                    <c:v>Monitor</c:v>
                  </c:pt>
                  <c:pt idx="28">
                    <c:v>Coffee Maker</c:v>
                  </c:pt>
                  <c:pt idx="29">
                    <c:v>Headphones</c:v>
                  </c:pt>
                  <c:pt idx="30">
                    <c:v>Smartphone</c:v>
                  </c:pt>
                  <c:pt idx="31">
                    <c:v>Bookshelf</c:v>
                  </c:pt>
                  <c:pt idx="32">
                    <c:v>Laptop</c:v>
                  </c:pt>
                  <c:pt idx="33">
                    <c:v>Keyboard</c:v>
                  </c:pt>
                  <c:pt idx="34">
                    <c:v>Monitor</c:v>
                  </c:pt>
                  <c:pt idx="35">
                    <c:v>Headphones</c:v>
                  </c:pt>
                  <c:pt idx="36">
                    <c:v>Desk</c:v>
                  </c:pt>
                  <c:pt idx="37">
                    <c:v>Blender</c:v>
                  </c:pt>
                  <c:pt idx="38">
                    <c:v>Coffee Maker</c:v>
                  </c:pt>
                  <c:pt idx="39">
                    <c:v>Office Chair</c:v>
                  </c:pt>
                </c:lvl>
                <c:lvl>
                  <c:pt idx="0">
                    <c:v>Cash</c:v>
                  </c:pt>
                  <c:pt idx="10">
                    <c:v>Credit Card</c:v>
                  </c:pt>
                  <c:pt idx="20">
                    <c:v>Debit Card</c:v>
                  </c:pt>
                  <c:pt idx="30">
                    <c:v>PayPal</c:v>
                  </c:pt>
                </c:lvl>
              </c:multiLvlStrCache>
            </c:multiLvlStrRef>
          </c:cat>
          <c:val>
            <c:numRef>
              <c:f>'Most Sold Products Charts'!$C$4:$C$48</c:f>
              <c:numCache>
                <c:formatCode>General</c:formatCode>
                <c:ptCount val="40"/>
                <c:pt idx="0">
                  <c:v>11</c:v>
                </c:pt>
                <c:pt idx="1">
                  <c:v>11</c:v>
                </c:pt>
                <c:pt idx="2">
                  <c:v>9</c:v>
                </c:pt>
                <c:pt idx="3">
                  <c:v>9</c:v>
                </c:pt>
                <c:pt idx="4">
                  <c:v>8</c:v>
                </c:pt>
                <c:pt idx="5">
                  <c:v>6</c:v>
                </c:pt>
                <c:pt idx="6">
                  <c:v>6</c:v>
                </c:pt>
                <c:pt idx="7">
                  <c:v>6</c:v>
                </c:pt>
                <c:pt idx="8">
                  <c:v>6</c:v>
                </c:pt>
                <c:pt idx="9">
                  <c:v>4</c:v>
                </c:pt>
                <c:pt idx="10">
                  <c:v>12</c:v>
                </c:pt>
                <c:pt idx="11">
                  <c:v>11</c:v>
                </c:pt>
                <c:pt idx="12">
                  <c:v>10</c:v>
                </c:pt>
                <c:pt idx="13">
                  <c:v>9</c:v>
                </c:pt>
                <c:pt idx="14">
                  <c:v>7</c:v>
                </c:pt>
                <c:pt idx="15">
                  <c:v>6</c:v>
                </c:pt>
                <c:pt idx="16">
                  <c:v>5</c:v>
                </c:pt>
                <c:pt idx="17">
                  <c:v>3</c:v>
                </c:pt>
                <c:pt idx="18">
                  <c:v>3</c:v>
                </c:pt>
                <c:pt idx="19">
                  <c:v>2</c:v>
                </c:pt>
                <c:pt idx="20">
                  <c:v>10</c:v>
                </c:pt>
                <c:pt idx="21">
                  <c:v>9</c:v>
                </c:pt>
                <c:pt idx="22">
                  <c:v>6</c:v>
                </c:pt>
                <c:pt idx="23">
                  <c:v>6</c:v>
                </c:pt>
                <c:pt idx="24">
                  <c:v>6</c:v>
                </c:pt>
                <c:pt idx="25">
                  <c:v>4</c:v>
                </c:pt>
                <c:pt idx="26">
                  <c:v>4</c:v>
                </c:pt>
                <c:pt idx="27">
                  <c:v>3</c:v>
                </c:pt>
                <c:pt idx="28">
                  <c:v>3</c:v>
                </c:pt>
                <c:pt idx="29">
                  <c:v>3</c:v>
                </c:pt>
                <c:pt idx="30">
                  <c:v>9</c:v>
                </c:pt>
                <c:pt idx="31">
                  <c:v>9</c:v>
                </c:pt>
                <c:pt idx="32">
                  <c:v>8</c:v>
                </c:pt>
                <c:pt idx="33">
                  <c:v>8</c:v>
                </c:pt>
                <c:pt idx="34">
                  <c:v>5</c:v>
                </c:pt>
                <c:pt idx="35">
                  <c:v>4</c:v>
                </c:pt>
                <c:pt idx="36">
                  <c:v>3</c:v>
                </c:pt>
                <c:pt idx="37">
                  <c:v>3</c:v>
                </c:pt>
                <c:pt idx="38">
                  <c:v>2</c:v>
                </c:pt>
                <c:pt idx="39">
                  <c:v>1</c:v>
                </c:pt>
              </c:numCache>
            </c:numRef>
          </c:val>
          <c:extLst>
            <c:ext xmlns:c16="http://schemas.microsoft.com/office/drawing/2014/chart" uri="{C3380CC4-5D6E-409C-BE32-E72D297353CC}">
              <c16:uniqueId val="{00000000-5187-4ECC-8F12-5B4B7120CEE8}"/>
            </c:ext>
          </c:extLst>
        </c:ser>
        <c:dLbls>
          <c:dLblPos val="outEnd"/>
          <c:showLegendKey val="0"/>
          <c:showVal val="1"/>
          <c:showCatName val="0"/>
          <c:showSerName val="0"/>
          <c:showPercent val="0"/>
          <c:showBubbleSize val="0"/>
        </c:dLbls>
        <c:gapWidth val="182"/>
        <c:axId val="1006307135"/>
        <c:axId val="1006298975"/>
      </c:barChart>
      <c:catAx>
        <c:axId val="100630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6298975"/>
        <c:crosses val="autoZero"/>
        <c:auto val="1"/>
        <c:lblAlgn val="ctr"/>
        <c:lblOffset val="100"/>
        <c:noMultiLvlLbl val="0"/>
      </c:catAx>
      <c:valAx>
        <c:axId val="1006298975"/>
        <c:scaling>
          <c:orientation val="minMax"/>
        </c:scaling>
        <c:delete val="1"/>
        <c:axPos val="b"/>
        <c:numFmt formatCode="General" sourceLinked="1"/>
        <c:majorTickMark val="none"/>
        <c:minorTickMark val="none"/>
        <c:tickLblPos val="nextTo"/>
        <c:crossAx val="1006307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Project.xlsx]Top Customers Charts!PivotTable4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Customers Total Amountwise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 Charts'!$B$99</c:f>
              <c:strCache>
                <c:ptCount val="1"/>
                <c:pt idx="0">
                  <c:v>Total</c:v>
                </c:pt>
              </c:strCache>
            </c:strRef>
          </c:tx>
          <c:spPr>
            <a:solidFill>
              <a:srgbClr val="4CAF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 Charts'!$A$100:$A$150</c:f>
              <c:strCache>
                <c:ptCount val="50"/>
                <c:pt idx="0">
                  <c:v>Mark Carter</c:v>
                </c:pt>
                <c:pt idx="1">
                  <c:v>Edward Mitchell</c:v>
                </c:pt>
                <c:pt idx="2">
                  <c:v>Barbara Young</c:v>
                </c:pt>
                <c:pt idx="3">
                  <c:v>Patricia Moore</c:v>
                </c:pt>
                <c:pt idx="4">
                  <c:v>Paul Baker</c:v>
                </c:pt>
                <c:pt idx="5">
                  <c:v>Dorothy Nelson</c:v>
                </c:pt>
                <c:pt idx="6">
                  <c:v>Karen Hill</c:v>
                </c:pt>
                <c:pt idx="7">
                  <c:v>Daniel King</c:v>
                </c:pt>
                <c:pt idx="8">
                  <c:v>Lawrence Reed</c:v>
                </c:pt>
                <c:pt idx="9">
                  <c:v>Joseph Jackson</c:v>
                </c:pt>
                <c:pt idx="10">
                  <c:v>Helen Roberts</c:v>
                </c:pt>
                <c:pt idx="11">
                  <c:v>Gerald Murphy</c:v>
                </c:pt>
                <c:pt idx="12">
                  <c:v>Sandra Phillips</c:v>
                </c:pt>
                <c:pt idx="13">
                  <c:v>Michael Brown</c:v>
                </c:pt>
                <c:pt idx="14">
                  <c:v>Peter Richardson</c:v>
                </c:pt>
                <c:pt idx="15">
                  <c:v>Betty Campbell</c:v>
                </c:pt>
                <c:pt idx="16">
                  <c:v>Sharon Butler</c:v>
                </c:pt>
                <c:pt idx="17">
                  <c:v>Harry Morgan</c:v>
                </c:pt>
                <c:pt idx="18">
                  <c:v>Sarah Davis</c:v>
                </c:pt>
                <c:pt idx="19">
                  <c:v>Charles Allen</c:v>
                </c:pt>
                <c:pt idx="20">
                  <c:v>Douglas Watson</c:v>
                </c:pt>
                <c:pt idx="21">
                  <c:v>Virginia Sanders</c:v>
                </c:pt>
                <c:pt idx="22">
                  <c:v>William White</c:v>
                </c:pt>
                <c:pt idx="23">
                  <c:v>Jennifer Taylor</c:v>
                </c:pt>
                <c:pt idx="24">
                  <c:v>Kathleen Bennett</c:v>
                </c:pt>
                <c:pt idx="25">
                  <c:v>Michelle Rogers</c:v>
                </c:pt>
                <c:pt idx="26">
                  <c:v>Nancy Collins</c:v>
                </c:pt>
                <c:pt idx="27">
                  <c:v>George Adams</c:v>
                </c:pt>
                <c:pt idx="28">
                  <c:v>Cynthia Price</c:v>
                </c:pt>
                <c:pt idx="29">
                  <c:v>Raymond Ross</c:v>
                </c:pt>
                <c:pt idx="30">
                  <c:v>Elizabeth Hall</c:v>
                </c:pt>
                <c:pt idx="31">
                  <c:v>Robert Thomas</c:v>
                </c:pt>
                <c:pt idx="32">
                  <c:v>Kevin Scott</c:v>
                </c:pt>
                <c:pt idx="33">
                  <c:v>Steven Turner</c:v>
                </c:pt>
                <c:pt idx="34">
                  <c:v>Margaret Wright</c:v>
                </c:pt>
                <c:pt idx="35">
                  <c:v>Lisa Anderson</c:v>
                </c:pt>
                <c:pt idx="36">
                  <c:v>Susan Green</c:v>
                </c:pt>
                <c:pt idx="37">
                  <c:v>Maria Garcia</c:v>
                </c:pt>
                <c:pt idx="38">
                  <c:v>David Martinez</c:v>
                </c:pt>
                <c:pt idx="39">
                  <c:v>Ruth Brooks</c:v>
                </c:pt>
                <c:pt idx="40">
                  <c:v>Arthur Edwards</c:v>
                </c:pt>
                <c:pt idx="41">
                  <c:v>Frank Torres</c:v>
                </c:pt>
                <c:pt idx="42">
                  <c:v>Linda Martin</c:v>
                </c:pt>
                <c:pt idx="43">
                  <c:v>Emma Wilson</c:v>
                </c:pt>
                <c:pt idx="44">
                  <c:v>Carol Evans</c:v>
                </c:pt>
                <c:pt idx="45">
                  <c:v>Richard Lee</c:v>
                </c:pt>
                <c:pt idx="46">
                  <c:v>John Smith</c:v>
                </c:pt>
                <c:pt idx="47">
                  <c:v>Dennis Gray</c:v>
                </c:pt>
                <c:pt idx="48">
                  <c:v>Julie Foster</c:v>
                </c:pt>
                <c:pt idx="49">
                  <c:v>James Johnson</c:v>
                </c:pt>
              </c:strCache>
            </c:strRef>
          </c:cat>
          <c:val>
            <c:numRef>
              <c:f>'Top Customers Charts'!$B$100:$B$150</c:f>
              <c:numCache>
                <c:formatCode>General</c:formatCode>
                <c:ptCount val="50"/>
                <c:pt idx="0">
                  <c:v>15659.65</c:v>
                </c:pt>
                <c:pt idx="1">
                  <c:v>11919.769999999999</c:v>
                </c:pt>
                <c:pt idx="2">
                  <c:v>10649.8</c:v>
                </c:pt>
                <c:pt idx="3">
                  <c:v>9799.73</c:v>
                </c:pt>
                <c:pt idx="4">
                  <c:v>8309.739999999998</c:v>
                </c:pt>
                <c:pt idx="5">
                  <c:v>8269.7900000000009</c:v>
                </c:pt>
                <c:pt idx="6">
                  <c:v>8009.7699999999995</c:v>
                </c:pt>
                <c:pt idx="7">
                  <c:v>7309.7999999999993</c:v>
                </c:pt>
                <c:pt idx="8">
                  <c:v>6989.7699999999986</c:v>
                </c:pt>
                <c:pt idx="9">
                  <c:v>6949.84</c:v>
                </c:pt>
                <c:pt idx="10">
                  <c:v>6459.79</c:v>
                </c:pt>
                <c:pt idx="11">
                  <c:v>6379.87</c:v>
                </c:pt>
                <c:pt idx="12">
                  <c:v>6349.83</c:v>
                </c:pt>
                <c:pt idx="13">
                  <c:v>6169.7400000000007</c:v>
                </c:pt>
                <c:pt idx="14">
                  <c:v>5949.85</c:v>
                </c:pt>
                <c:pt idx="15">
                  <c:v>5649.84</c:v>
                </c:pt>
                <c:pt idx="16">
                  <c:v>5619.869999999999</c:v>
                </c:pt>
                <c:pt idx="17">
                  <c:v>5519.8899999999994</c:v>
                </c:pt>
                <c:pt idx="18">
                  <c:v>5499.8099999999995</c:v>
                </c:pt>
                <c:pt idx="19">
                  <c:v>5089.7300000000005</c:v>
                </c:pt>
                <c:pt idx="20">
                  <c:v>4829.8899999999994</c:v>
                </c:pt>
                <c:pt idx="21">
                  <c:v>4789.7900000000009</c:v>
                </c:pt>
                <c:pt idx="22">
                  <c:v>4749.91</c:v>
                </c:pt>
                <c:pt idx="23">
                  <c:v>4739.8500000000004</c:v>
                </c:pt>
                <c:pt idx="24">
                  <c:v>4309.8099999999995</c:v>
                </c:pt>
                <c:pt idx="25">
                  <c:v>4199.9399999999996</c:v>
                </c:pt>
                <c:pt idx="26">
                  <c:v>4189.7700000000004</c:v>
                </c:pt>
                <c:pt idx="27">
                  <c:v>3779.93</c:v>
                </c:pt>
                <c:pt idx="28">
                  <c:v>3769.8300000000004</c:v>
                </c:pt>
                <c:pt idx="29">
                  <c:v>3669.8500000000004</c:v>
                </c:pt>
                <c:pt idx="30">
                  <c:v>3649.8599999999997</c:v>
                </c:pt>
                <c:pt idx="31">
                  <c:v>3509.8999999999996</c:v>
                </c:pt>
                <c:pt idx="32">
                  <c:v>3259.87</c:v>
                </c:pt>
                <c:pt idx="33">
                  <c:v>2649.83</c:v>
                </c:pt>
                <c:pt idx="34">
                  <c:v>2099.88</c:v>
                </c:pt>
                <c:pt idx="35">
                  <c:v>2039.8000000000002</c:v>
                </c:pt>
                <c:pt idx="36">
                  <c:v>1979.89</c:v>
                </c:pt>
                <c:pt idx="37">
                  <c:v>1909.93</c:v>
                </c:pt>
                <c:pt idx="38">
                  <c:v>1809.84</c:v>
                </c:pt>
                <c:pt idx="39">
                  <c:v>1749.92</c:v>
                </c:pt>
                <c:pt idx="40">
                  <c:v>1559.94</c:v>
                </c:pt>
                <c:pt idx="41">
                  <c:v>1479.91</c:v>
                </c:pt>
                <c:pt idx="42">
                  <c:v>1289.9000000000001</c:v>
                </c:pt>
                <c:pt idx="43">
                  <c:v>1229.8800000000001</c:v>
                </c:pt>
                <c:pt idx="44">
                  <c:v>1149.93</c:v>
                </c:pt>
                <c:pt idx="45">
                  <c:v>739.93000000000006</c:v>
                </c:pt>
                <c:pt idx="46">
                  <c:v>599.96</c:v>
                </c:pt>
                <c:pt idx="47">
                  <c:v>479.91999999999996</c:v>
                </c:pt>
                <c:pt idx="48">
                  <c:v>239.96</c:v>
                </c:pt>
                <c:pt idx="49">
                  <c:v>179.97</c:v>
                </c:pt>
              </c:numCache>
            </c:numRef>
          </c:val>
          <c:extLst>
            <c:ext xmlns:c16="http://schemas.microsoft.com/office/drawing/2014/chart" uri="{C3380CC4-5D6E-409C-BE32-E72D297353CC}">
              <c16:uniqueId val="{00000000-43A2-4959-B09C-C06BB160BDD1}"/>
            </c:ext>
          </c:extLst>
        </c:ser>
        <c:dLbls>
          <c:dLblPos val="outEnd"/>
          <c:showLegendKey val="0"/>
          <c:showVal val="1"/>
          <c:showCatName val="0"/>
          <c:showSerName val="0"/>
          <c:showPercent val="0"/>
          <c:showBubbleSize val="0"/>
        </c:dLbls>
        <c:gapWidth val="182"/>
        <c:axId val="816684192"/>
        <c:axId val="816681312"/>
      </c:barChart>
      <c:catAx>
        <c:axId val="81668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6681312"/>
        <c:crosses val="autoZero"/>
        <c:auto val="1"/>
        <c:lblAlgn val="ctr"/>
        <c:lblOffset val="100"/>
        <c:noMultiLvlLbl val="0"/>
      </c:catAx>
      <c:valAx>
        <c:axId val="816681312"/>
        <c:scaling>
          <c:orientation val="minMax"/>
        </c:scaling>
        <c:delete val="1"/>
        <c:axPos val="b"/>
        <c:numFmt formatCode="General" sourceLinked="1"/>
        <c:majorTickMark val="none"/>
        <c:minorTickMark val="none"/>
        <c:tickLblPos val="nextTo"/>
        <c:crossAx val="81668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5F5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45720</xdr:colOff>
      <xdr:row>7</xdr:row>
      <xdr:rowOff>15240</xdr:rowOff>
    </xdr:from>
    <xdr:to>
      <xdr:col>8</xdr:col>
      <xdr:colOff>568920</xdr:colOff>
      <xdr:row>21</xdr:row>
      <xdr:rowOff>42076</xdr:rowOff>
    </xdr:to>
    <xdr:graphicFrame macro="">
      <xdr:nvGraphicFramePr>
        <xdr:cNvPr id="2" name="Chart 1">
          <a:extLst>
            <a:ext uri="{FF2B5EF4-FFF2-40B4-BE49-F238E27FC236}">
              <a16:creationId xmlns:a16="http://schemas.microsoft.com/office/drawing/2014/main" id="{30E51269-F099-40EE-A1FC-1F46A0AE5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xdr:row>
      <xdr:rowOff>30479</xdr:rowOff>
    </xdr:from>
    <xdr:to>
      <xdr:col>17</xdr:col>
      <xdr:colOff>523200</xdr:colOff>
      <xdr:row>21</xdr:row>
      <xdr:rowOff>58559</xdr:rowOff>
    </xdr:to>
    <xdr:graphicFrame macro="">
      <xdr:nvGraphicFramePr>
        <xdr:cNvPr id="3" name="Chart 2">
          <a:extLst>
            <a:ext uri="{FF2B5EF4-FFF2-40B4-BE49-F238E27FC236}">
              <a16:creationId xmlns:a16="http://schemas.microsoft.com/office/drawing/2014/main" id="{69CEDEF8-8D06-4275-A75A-D2FA65537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575928</xdr:colOff>
      <xdr:row>7</xdr:row>
      <xdr:rowOff>30479</xdr:rowOff>
    </xdr:from>
    <xdr:to>
      <xdr:col>26</xdr:col>
      <xdr:colOff>489528</xdr:colOff>
      <xdr:row>21</xdr:row>
      <xdr:rowOff>58559</xdr:rowOff>
    </xdr:to>
    <xdr:graphicFrame macro="">
      <xdr:nvGraphicFramePr>
        <xdr:cNvPr id="4" name="Chart 3">
          <a:extLst>
            <a:ext uri="{FF2B5EF4-FFF2-40B4-BE49-F238E27FC236}">
              <a16:creationId xmlns:a16="http://schemas.microsoft.com/office/drawing/2014/main" id="{388AA3DA-9AAE-40F7-9DF0-9AF0FDB44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xdr:colOff>
      <xdr:row>21</xdr:row>
      <xdr:rowOff>88737</xdr:rowOff>
    </xdr:from>
    <xdr:to>
      <xdr:col>8</xdr:col>
      <xdr:colOff>568920</xdr:colOff>
      <xdr:row>63</xdr:row>
      <xdr:rowOff>116758</xdr:rowOff>
    </xdr:to>
    <xdr:graphicFrame macro="">
      <xdr:nvGraphicFramePr>
        <xdr:cNvPr id="7" name="Chart 6">
          <a:extLst>
            <a:ext uri="{FF2B5EF4-FFF2-40B4-BE49-F238E27FC236}">
              <a16:creationId xmlns:a16="http://schemas.microsoft.com/office/drawing/2014/main" id="{71C572C1-C008-48A6-B127-7B2950D65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15240</xdr:colOff>
      <xdr:row>21</xdr:row>
      <xdr:rowOff>103166</xdr:rowOff>
    </xdr:from>
    <xdr:to>
      <xdr:col>17</xdr:col>
      <xdr:colOff>538440</xdr:colOff>
      <xdr:row>52</xdr:row>
      <xdr:rowOff>148885</xdr:rowOff>
    </xdr:to>
    <xdr:graphicFrame macro="">
      <xdr:nvGraphicFramePr>
        <xdr:cNvPr id="8" name="TopCust by segments">
          <a:extLst>
            <a:ext uri="{FF2B5EF4-FFF2-40B4-BE49-F238E27FC236}">
              <a16:creationId xmlns:a16="http://schemas.microsoft.com/office/drawing/2014/main" id="{74018100-1CC5-4E68-A842-330B52400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576429</xdr:colOff>
      <xdr:row>21</xdr:row>
      <xdr:rowOff>109762</xdr:rowOff>
    </xdr:from>
    <xdr:to>
      <xdr:col>26</xdr:col>
      <xdr:colOff>456575</xdr:colOff>
      <xdr:row>52</xdr:row>
      <xdr:rowOff>130848</xdr:rowOff>
    </xdr:to>
    <xdr:graphicFrame macro="">
      <xdr:nvGraphicFramePr>
        <xdr:cNvPr id="9" name="Chart 8">
          <a:extLst>
            <a:ext uri="{FF2B5EF4-FFF2-40B4-BE49-F238E27FC236}">
              <a16:creationId xmlns:a16="http://schemas.microsoft.com/office/drawing/2014/main" id="{C94F82C5-1CF7-4CA3-8D7F-5ABC86C3C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541020</xdr:colOff>
      <xdr:row>7</xdr:row>
      <xdr:rowOff>38100</xdr:rowOff>
    </xdr:from>
    <xdr:to>
      <xdr:col>35</xdr:col>
      <xdr:colOff>421166</xdr:colOff>
      <xdr:row>21</xdr:row>
      <xdr:rowOff>66180</xdr:rowOff>
    </xdr:to>
    <xdr:graphicFrame macro="">
      <xdr:nvGraphicFramePr>
        <xdr:cNvPr id="10" name="Chart 9">
          <a:extLst>
            <a:ext uri="{FF2B5EF4-FFF2-40B4-BE49-F238E27FC236}">
              <a16:creationId xmlns:a16="http://schemas.microsoft.com/office/drawing/2014/main" id="{3BC93A04-4929-4895-A4DB-DF55E1B52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24038</xdr:colOff>
      <xdr:row>53</xdr:row>
      <xdr:rowOff>24099</xdr:rowOff>
    </xdr:from>
    <xdr:to>
      <xdr:col>26</xdr:col>
      <xdr:colOff>362857</xdr:colOff>
      <xdr:row>69</xdr:row>
      <xdr:rowOff>156588</xdr:rowOff>
    </xdr:to>
    <xdr:graphicFrame macro="">
      <xdr:nvGraphicFramePr>
        <xdr:cNvPr id="11" name="Chart 10">
          <a:extLst>
            <a:ext uri="{FF2B5EF4-FFF2-40B4-BE49-F238E27FC236}">
              <a16:creationId xmlns:a16="http://schemas.microsoft.com/office/drawing/2014/main" id="{86267B2B-821C-4CF4-BB7E-0BB7D4D48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529682</xdr:colOff>
      <xdr:row>21</xdr:row>
      <xdr:rowOff>120804</xdr:rowOff>
    </xdr:from>
    <xdr:to>
      <xdr:col>35</xdr:col>
      <xdr:colOff>409828</xdr:colOff>
      <xdr:row>54</xdr:row>
      <xdr:rowOff>106827</xdr:rowOff>
    </xdr:to>
    <xdr:graphicFrame macro="">
      <xdr:nvGraphicFramePr>
        <xdr:cNvPr id="12" name="Chart 11">
          <a:extLst>
            <a:ext uri="{FF2B5EF4-FFF2-40B4-BE49-F238E27FC236}">
              <a16:creationId xmlns:a16="http://schemas.microsoft.com/office/drawing/2014/main" id="{A3532FAE-99A5-4EE4-BFB1-F9B7E3A72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35</xdr:col>
      <xdr:colOff>468312</xdr:colOff>
      <xdr:row>7</xdr:row>
      <xdr:rowOff>35827</xdr:rowOff>
    </xdr:from>
    <xdr:to>
      <xdr:col>44</xdr:col>
      <xdr:colOff>367625</xdr:colOff>
      <xdr:row>54</xdr:row>
      <xdr:rowOff>123743</xdr:rowOff>
    </xdr:to>
    <xdr:graphicFrame macro="">
      <xdr:nvGraphicFramePr>
        <xdr:cNvPr id="14" name="Chart 13">
          <a:extLst>
            <a:ext uri="{FF2B5EF4-FFF2-40B4-BE49-F238E27FC236}">
              <a16:creationId xmlns:a16="http://schemas.microsoft.com/office/drawing/2014/main" id="{277DAFA1-3A96-467E-8624-BECC422AD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43791</xdr:colOff>
      <xdr:row>64</xdr:row>
      <xdr:rowOff>3479</xdr:rowOff>
    </xdr:from>
    <xdr:to>
      <xdr:col>3</xdr:col>
      <xdr:colOff>187791</xdr:colOff>
      <xdr:row>73</xdr:row>
      <xdr:rowOff>75477</xdr:rowOff>
    </xdr:to>
    <mc:AlternateContent xmlns:mc="http://schemas.openxmlformats.org/markup-compatibility/2006" xmlns:a14="http://schemas.microsoft.com/office/drawing/2010/main">
      <mc:Choice Requires="a14">
        <xdr:graphicFrame macro="">
          <xdr:nvGraphicFramePr>
            <xdr:cNvPr id="19" name="Product_Name">
              <a:extLst>
                <a:ext uri="{FF2B5EF4-FFF2-40B4-BE49-F238E27FC236}">
                  <a16:creationId xmlns:a16="http://schemas.microsoft.com/office/drawing/2014/main" id="{B4155A15-C0D8-2F1B-1B19-92D029B8EBB8}"/>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43791" y="11309735"/>
              <a:ext cx="1980615" cy="1713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244500</xdr:colOff>
      <xdr:row>64</xdr:row>
      <xdr:rowOff>6521</xdr:rowOff>
    </xdr:from>
    <xdr:to>
      <xdr:col>6</xdr:col>
      <xdr:colOff>387884</xdr:colOff>
      <xdr:row>73</xdr:row>
      <xdr:rowOff>78519</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5D2F9008-A717-A392-1DFD-F563726029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81115" y="11312777"/>
              <a:ext cx="1980000" cy="1713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39928</xdr:colOff>
      <xdr:row>73</xdr:row>
      <xdr:rowOff>116918</xdr:rowOff>
    </xdr:from>
    <xdr:to>
      <xdr:col>3</xdr:col>
      <xdr:colOff>183313</xdr:colOff>
      <xdr:row>81</xdr:row>
      <xdr:rowOff>104187</xdr:rowOff>
    </xdr:to>
    <mc:AlternateContent xmlns:mc="http://schemas.openxmlformats.org/markup-compatibility/2006" xmlns:a14="http://schemas.microsoft.com/office/drawing/2010/main">
      <mc:Choice Requires="a14">
        <xdr:graphicFrame macro="">
          <xdr:nvGraphicFramePr>
            <xdr:cNvPr id="21" name="Payment_Method">
              <a:extLst>
                <a:ext uri="{FF2B5EF4-FFF2-40B4-BE49-F238E27FC236}">
                  <a16:creationId xmlns:a16="http://schemas.microsoft.com/office/drawing/2014/main" id="{1EF6C3B1-BC85-5B5B-EC1F-497F35CA404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9928" y="13064405"/>
              <a:ext cx="1980000" cy="1446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244448</xdr:colOff>
      <xdr:row>73</xdr:row>
      <xdr:rowOff>99473</xdr:rowOff>
    </xdr:from>
    <xdr:to>
      <xdr:col>6</xdr:col>
      <xdr:colOff>387832</xdr:colOff>
      <xdr:row>81</xdr:row>
      <xdr:rowOff>110700</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98C5E7D4-BD1A-E7A7-07FA-1B83417C77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81063" y="13046960"/>
              <a:ext cx="1980000" cy="1470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52949</xdr:colOff>
      <xdr:row>81</xdr:row>
      <xdr:rowOff>143002</xdr:rowOff>
    </xdr:from>
    <xdr:to>
      <xdr:col>6</xdr:col>
      <xdr:colOff>390769</xdr:colOff>
      <xdr:row>96</xdr:row>
      <xdr:rowOff>149774</xdr:rowOff>
    </xdr:to>
    <mc:AlternateContent xmlns:mc="http://schemas.openxmlformats.org/markup-compatibility/2006" xmlns:a14="http://schemas.microsoft.com/office/drawing/2010/main">
      <mc:Choice Requires="a14">
        <xdr:graphicFrame macro="">
          <xdr:nvGraphicFramePr>
            <xdr:cNvPr id="23" name="Customer_Name">
              <a:extLst>
                <a:ext uri="{FF2B5EF4-FFF2-40B4-BE49-F238E27FC236}">
                  <a16:creationId xmlns:a16="http://schemas.microsoft.com/office/drawing/2014/main" id="{8194B9B3-30A6-178A-C745-93395C8D6670}"/>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52949" y="14549361"/>
              <a:ext cx="4011051" cy="2742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527538</xdr:colOff>
      <xdr:row>54</xdr:row>
      <xdr:rowOff>169333</xdr:rowOff>
    </xdr:from>
    <xdr:to>
      <xdr:col>37</xdr:col>
      <xdr:colOff>324099</xdr:colOff>
      <xdr:row>107</xdr:row>
      <xdr:rowOff>161831</xdr:rowOff>
    </xdr:to>
    <xdr:graphicFrame macro="">
      <xdr:nvGraphicFramePr>
        <xdr:cNvPr id="24" name="Chart 23">
          <a:extLst>
            <a:ext uri="{FF2B5EF4-FFF2-40B4-BE49-F238E27FC236}">
              <a16:creationId xmlns:a16="http://schemas.microsoft.com/office/drawing/2014/main" id="{AF0E9BDF-CF3D-4B14-93E4-DF0F1AC6D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54054</xdr:colOff>
      <xdr:row>97</xdr:row>
      <xdr:rowOff>21800</xdr:rowOff>
    </xdr:from>
    <xdr:to>
      <xdr:col>6</xdr:col>
      <xdr:colOff>390768</xdr:colOff>
      <xdr:row>104</xdr:row>
      <xdr:rowOff>116888</xdr:rowOff>
    </xdr:to>
    <mc:AlternateContent xmlns:mc="http://schemas.openxmlformats.org/markup-compatibility/2006" xmlns:tsle="http://schemas.microsoft.com/office/drawing/2012/timeslicer">
      <mc:Choice Requires="tsle">
        <xdr:graphicFrame macro="">
          <xdr:nvGraphicFramePr>
            <xdr:cNvPr id="26" name="Date">
              <a:extLst>
                <a:ext uri="{FF2B5EF4-FFF2-40B4-BE49-F238E27FC236}">
                  <a16:creationId xmlns:a16="http://schemas.microsoft.com/office/drawing/2014/main" id="{771C7704-923A-106E-73AB-186B8635B64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4054" y="17345903"/>
              <a:ext cx="400994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ju" refreshedDate="45765.42378946759" createdVersion="8" refreshedVersion="8" minRefreshableVersion="3" recordCount="250" xr:uid="{B5495240-9649-46E9-B96B-A12377846EDE}">
  <cacheSource type="worksheet">
    <worksheetSource name="sales_data"/>
  </cacheSource>
  <cacheFields count="20">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9"/>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 name="Months (Customer_Since)" numFmtId="0" databaseField="0">
      <fieldGroup base="12">
        <rangePr groupBy="months" startDate="2021-07-18T00:00:00" endDate="2024-04-12T00:00:00"/>
        <groupItems count="14">
          <s v="&lt;18-07-2021"/>
          <s v="Jan"/>
          <s v="Feb"/>
          <s v="Mar"/>
          <s v="Apr"/>
          <s v="May"/>
          <s v="Jun"/>
          <s v="Jul"/>
          <s v="Aug"/>
          <s v="Sep"/>
          <s v="Oct"/>
          <s v="Nov"/>
          <s v="Dec"/>
          <s v="&gt;12-04-2024"/>
        </groupItems>
      </fieldGroup>
    </cacheField>
    <cacheField name="Quarters (Customer_Since)" numFmtId="0" databaseField="0">
      <fieldGroup base="12">
        <rangePr groupBy="quarters" startDate="2021-07-18T00:00:00" endDate="2024-04-12T00:00:00"/>
        <groupItems count="6">
          <s v="&lt;18-07-2021"/>
          <s v="Qtr1"/>
          <s v="Qtr2"/>
          <s v="Qtr3"/>
          <s v="Qtr4"/>
          <s v="&gt;12-04-2024"/>
        </groupItems>
      </fieldGroup>
    </cacheField>
    <cacheField name="Years (Customer_Since)"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87752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x v="0"/>
    <x v="0"/>
    <x v="0"/>
    <x v="0"/>
    <n v="749.97"/>
  </r>
  <r>
    <s v="TRX0023"/>
    <x v="1"/>
    <s v="CUST013"/>
    <x v="1"/>
    <s v="P009"/>
    <x v="0"/>
    <x v="0"/>
    <n v="3"/>
    <n v="249.99"/>
    <x v="1"/>
    <x v="0"/>
    <x v="1"/>
    <x v="1"/>
    <n v="749.97"/>
  </r>
  <r>
    <s v="TRX0139"/>
    <x v="2"/>
    <s v="CUST021"/>
    <x v="2"/>
    <s v="P005"/>
    <x v="1"/>
    <x v="1"/>
    <n v="3"/>
    <n v="59.99"/>
    <x v="2"/>
    <x v="1"/>
    <x v="2"/>
    <x v="2"/>
    <n v="179.97"/>
  </r>
  <r>
    <s v="TRX0043"/>
    <x v="3"/>
    <s v="CUST046"/>
    <x v="3"/>
    <s v="P005"/>
    <x v="1"/>
    <x v="1"/>
    <n v="3"/>
    <n v="59.99"/>
    <x v="0"/>
    <x v="2"/>
    <x v="1"/>
    <x v="3"/>
    <n v="179.97"/>
  </r>
  <r>
    <s v="TRX0212"/>
    <x v="3"/>
    <s v="CUST003"/>
    <x v="4"/>
    <s v="P008"/>
    <x v="2"/>
    <x v="2"/>
    <n v="5"/>
    <n v="149.99"/>
    <x v="1"/>
    <x v="2"/>
    <x v="1"/>
    <x v="4"/>
    <n v="749.95"/>
  </r>
  <r>
    <s v="TRX0092"/>
    <x v="4"/>
    <s v="CUST024"/>
    <x v="5"/>
    <s v="P005"/>
    <x v="1"/>
    <x v="1"/>
    <n v="2"/>
    <n v="59.99"/>
    <x v="0"/>
    <x v="3"/>
    <x v="2"/>
    <x v="5"/>
    <n v="119.98"/>
  </r>
  <r>
    <s v="TRX0193"/>
    <x v="4"/>
    <s v="CUST024"/>
    <x v="5"/>
    <s v="P003"/>
    <x v="3"/>
    <x v="0"/>
    <n v="5"/>
    <n v="149.99"/>
    <x v="1"/>
    <x v="0"/>
    <x v="2"/>
    <x v="6"/>
    <n v="749.95"/>
  </r>
  <r>
    <s v="TRX0240"/>
    <x v="4"/>
    <s v="CUST017"/>
    <x v="6"/>
    <s v="P005"/>
    <x v="1"/>
    <x v="1"/>
    <n v="3"/>
    <n v="59.99"/>
    <x v="3"/>
    <x v="1"/>
    <x v="0"/>
    <x v="7"/>
    <n v="179.97"/>
  </r>
  <r>
    <s v="TRX0135"/>
    <x v="5"/>
    <s v="CUST009"/>
    <x v="7"/>
    <s v="P001"/>
    <x v="4"/>
    <x v="0"/>
    <n v="3"/>
    <n v="899.99"/>
    <x v="2"/>
    <x v="4"/>
    <x v="2"/>
    <x v="8"/>
    <n v="2699.97"/>
  </r>
  <r>
    <s v="TRX0185"/>
    <x v="6"/>
    <s v="CUST026"/>
    <x v="8"/>
    <s v="P005"/>
    <x v="1"/>
    <x v="1"/>
    <n v="3"/>
    <n v="59.99"/>
    <x v="0"/>
    <x v="3"/>
    <x v="1"/>
    <x v="9"/>
    <n v="179.97"/>
  </r>
  <r>
    <s v="TRX0138"/>
    <x v="6"/>
    <s v="CUST022"/>
    <x v="9"/>
    <s v="P008"/>
    <x v="2"/>
    <x v="2"/>
    <n v="1"/>
    <n v="149.99"/>
    <x v="1"/>
    <x v="3"/>
    <x v="2"/>
    <x v="10"/>
    <n v="149.99"/>
  </r>
  <r>
    <s v="TRX0209"/>
    <x v="6"/>
    <s v="CUST046"/>
    <x v="3"/>
    <s v="P008"/>
    <x v="2"/>
    <x v="2"/>
    <n v="5"/>
    <n v="149.99"/>
    <x v="3"/>
    <x v="2"/>
    <x v="0"/>
    <x v="11"/>
    <n v="749.95"/>
  </r>
  <r>
    <s v="TRX0246"/>
    <x v="6"/>
    <s v="CUST041"/>
    <x v="10"/>
    <s v="P008"/>
    <x v="2"/>
    <x v="2"/>
    <n v="3"/>
    <n v="149.99"/>
    <x v="0"/>
    <x v="2"/>
    <x v="1"/>
    <x v="12"/>
    <n v="449.97"/>
  </r>
  <r>
    <s v="TRX0067"/>
    <x v="7"/>
    <s v="CUST043"/>
    <x v="11"/>
    <s v="P005"/>
    <x v="1"/>
    <x v="1"/>
    <n v="3"/>
    <n v="59.99"/>
    <x v="1"/>
    <x v="2"/>
    <x v="2"/>
    <x v="13"/>
    <n v="179.97"/>
  </r>
  <r>
    <s v="TRX0191"/>
    <x v="7"/>
    <s v="CUST038"/>
    <x v="12"/>
    <s v="P002"/>
    <x v="5"/>
    <x v="0"/>
    <n v="3"/>
    <n v="699.99"/>
    <x v="1"/>
    <x v="3"/>
    <x v="0"/>
    <x v="14"/>
    <n v="2099.9699999999998"/>
  </r>
  <r>
    <s v="TRX0230"/>
    <x v="7"/>
    <s v="CUST027"/>
    <x v="13"/>
    <s v="P001"/>
    <x v="4"/>
    <x v="0"/>
    <n v="1"/>
    <n v="899.99"/>
    <x v="3"/>
    <x v="2"/>
    <x v="2"/>
    <x v="15"/>
    <n v="899.99"/>
  </r>
  <r>
    <s v="TRX0049"/>
    <x v="8"/>
    <s v="CUST025"/>
    <x v="14"/>
    <s v="P008"/>
    <x v="2"/>
    <x v="2"/>
    <n v="4"/>
    <n v="149.99"/>
    <x v="3"/>
    <x v="2"/>
    <x v="1"/>
    <x v="16"/>
    <n v="599.96"/>
  </r>
  <r>
    <s v="TRX0134"/>
    <x v="8"/>
    <s v="CUST010"/>
    <x v="15"/>
    <s v="P002"/>
    <x v="5"/>
    <x v="0"/>
    <n v="2"/>
    <n v="699.99"/>
    <x v="0"/>
    <x v="2"/>
    <x v="0"/>
    <x v="17"/>
    <n v="1399.98"/>
  </r>
  <r>
    <s v="TRX0122"/>
    <x v="8"/>
    <s v="CUST025"/>
    <x v="14"/>
    <s v="P001"/>
    <x v="4"/>
    <x v="0"/>
    <n v="4"/>
    <n v="899.99"/>
    <x v="1"/>
    <x v="3"/>
    <x v="2"/>
    <x v="18"/>
    <n v="3599.96"/>
  </r>
  <r>
    <s v="TRX0222"/>
    <x v="8"/>
    <s v="CUST048"/>
    <x v="16"/>
    <s v="P009"/>
    <x v="0"/>
    <x v="0"/>
    <n v="3"/>
    <n v="249.99"/>
    <x v="1"/>
    <x v="2"/>
    <x v="1"/>
    <x v="19"/>
    <n v="749.97"/>
  </r>
  <r>
    <s v="TRX0231"/>
    <x v="9"/>
    <s v="CUST018"/>
    <x v="17"/>
    <s v="P002"/>
    <x v="5"/>
    <x v="0"/>
    <n v="5"/>
    <n v="699.99"/>
    <x v="0"/>
    <x v="3"/>
    <x v="0"/>
    <x v="20"/>
    <n v="3499.95"/>
  </r>
  <r>
    <s v="TRX0239"/>
    <x v="10"/>
    <s v="CUST012"/>
    <x v="18"/>
    <s v="P002"/>
    <x v="5"/>
    <x v="0"/>
    <n v="4"/>
    <n v="699.99"/>
    <x v="0"/>
    <x v="4"/>
    <x v="2"/>
    <x v="21"/>
    <n v="2799.96"/>
  </r>
  <r>
    <s v="TRX0204"/>
    <x v="11"/>
    <s v="CUST044"/>
    <x v="19"/>
    <s v="P009"/>
    <x v="0"/>
    <x v="0"/>
    <n v="4"/>
    <n v="249.99"/>
    <x v="2"/>
    <x v="2"/>
    <x v="2"/>
    <x v="22"/>
    <n v="999.96"/>
  </r>
  <r>
    <s v="TRX0242"/>
    <x v="12"/>
    <s v="CUST025"/>
    <x v="14"/>
    <s v="P007"/>
    <x v="6"/>
    <x v="2"/>
    <n v="4"/>
    <n v="299.99"/>
    <x v="0"/>
    <x v="3"/>
    <x v="1"/>
    <x v="23"/>
    <n v="1199.96"/>
  </r>
  <r>
    <s v="TRX0071"/>
    <x v="13"/>
    <s v="CUST036"/>
    <x v="20"/>
    <s v="P009"/>
    <x v="0"/>
    <x v="0"/>
    <n v="5"/>
    <n v="249.99"/>
    <x v="1"/>
    <x v="3"/>
    <x v="2"/>
    <x v="24"/>
    <n v="1249.95"/>
  </r>
  <r>
    <s v="TRX0040"/>
    <x v="14"/>
    <s v="CUST022"/>
    <x v="9"/>
    <s v="P007"/>
    <x v="6"/>
    <x v="2"/>
    <n v="5"/>
    <n v="299.99"/>
    <x v="2"/>
    <x v="4"/>
    <x v="0"/>
    <x v="25"/>
    <n v="1499.95"/>
  </r>
  <r>
    <s v="TRX0235"/>
    <x v="14"/>
    <s v="CUST014"/>
    <x v="21"/>
    <s v="P004"/>
    <x v="7"/>
    <x v="1"/>
    <n v="3"/>
    <n v="79.989999999999995"/>
    <x v="2"/>
    <x v="4"/>
    <x v="1"/>
    <x v="26"/>
    <n v="239.97"/>
  </r>
  <r>
    <s v="TRX0004"/>
    <x v="14"/>
    <s v="CUST012"/>
    <x v="18"/>
    <s v="P010"/>
    <x v="8"/>
    <x v="0"/>
    <n v="5"/>
    <n v="89.99"/>
    <x v="0"/>
    <x v="2"/>
    <x v="1"/>
    <x v="27"/>
    <n v="449.95"/>
  </r>
  <r>
    <s v="TRX0063"/>
    <x v="15"/>
    <s v="CUST030"/>
    <x v="22"/>
    <s v="P005"/>
    <x v="1"/>
    <x v="1"/>
    <n v="2"/>
    <n v="59.99"/>
    <x v="3"/>
    <x v="0"/>
    <x v="2"/>
    <x v="28"/>
    <n v="119.98"/>
  </r>
  <r>
    <s v="TRX0241"/>
    <x v="16"/>
    <s v="CUST029"/>
    <x v="23"/>
    <s v="P005"/>
    <x v="1"/>
    <x v="1"/>
    <n v="4"/>
    <n v="59.99"/>
    <x v="3"/>
    <x v="4"/>
    <x v="2"/>
    <x v="29"/>
    <n v="239.96"/>
  </r>
  <r>
    <s v="TRX0029"/>
    <x v="16"/>
    <s v="CUST017"/>
    <x v="6"/>
    <s v="P006"/>
    <x v="9"/>
    <x v="2"/>
    <n v="5"/>
    <n v="199.99"/>
    <x v="0"/>
    <x v="1"/>
    <x v="2"/>
    <x v="30"/>
    <n v="999.95"/>
  </r>
  <r>
    <s v="TRX0194"/>
    <x v="17"/>
    <s v="CUST006"/>
    <x v="24"/>
    <s v="P008"/>
    <x v="2"/>
    <x v="2"/>
    <n v="2"/>
    <n v="149.99"/>
    <x v="1"/>
    <x v="3"/>
    <x v="0"/>
    <x v="31"/>
    <n v="299.98"/>
  </r>
  <r>
    <s v="TRX0130"/>
    <x v="18"/>
    <s v="CUST002"/>
    <x v="25"/>
    <s v="P008"/>
    <x v="2"/>
    <x v="2"/>
    <n v="3"/>
    <n v="149.99"/>
    <x v="1"/>
    <x v="3"/>
    <x v="1"/>
    <x v="32"/>
    <n v="449.97"/>
  </r>
  <r>
    <s v="TRX0041"/>
    <x v="19"/>
    <s v="CUST021"/>
    <x v="2"/>
    <s v="P001"/>
    <x v="4"/>
    <x v="0"/>
    <n v="1"/>
    <n v="899.99"/>
    <x v="1"/>
    <x v="3"/>
    <x v="1"/>
    <x v="33"/>
    <n v="899.99"/>
  </r>
  <r>
    <s v="TRX0232"/>
    <x v="20"/>
    <s v="CUST012"/>
    <x v="18"/>
    <s v="P007"/>
    <x v="6"/>
    <x v="2"/>
    <n v="3"/>
    <n v="299.99"/>
    <x v="1"/>
    <x v="4"/>
    <x v="0"/>
    <x v="34"/>
    <n v="899.97"/>
  </r>
  <r>
    <s v="TRX0021"/>
    <x v="21"/>
    <s v="CUST006"/>
    <x v="24"/>
    <s v="P004"/>
    <x v="7"/>
    <x v="1"/>
    <n v="3"/>
    <n v="79.989999999999995"/>
    <x v="0"/>
    <x v="1"/>
    <x v="0"/>
    <x v="35"/>
    <n v="239.97"/>
  </r>
  <r>
    <s v="TRX0245"/>
    <x v="22"/>
    <s v="CUST031"/>
    <x v="26"/>
    <s v="P006"/>
    <x v="9"/>
    <x v="2"/>
    <n v="3"/>
    <n v="199.99"/>
    <x v="1"/>
    <x v="2"/>
    <x v="1"/>
    <x v="36"/>
    <n v="599.97"/>
  </r>
  <r>
    <s v="TRX0015"/>
    <x v="23"/>
    <s v="CUST008"/>
    <x v="27"/>
    <s v="P002"/>
    <x v="5"/>
    <x v="0"/>
    <n v="5"/>
    <n v="699.99"/>
    <x v="2"/>
    <x v="3"/>
    <x v="2"/>
    <x v="37"/>
    <n v="3499.95"/>
  </r>
  <r>
    <s v="TRX0202"/>
    <x v="24"/>
    <s v="CUST035"/>
    <x v="28"/>
    <s v="P010"/>
    <x v="8"/>
    <x v="0"/>
    <n v="3"/>
    <n v="89.99"/>
    <x v="2"/>
    <x v="0"/>
    <x v="1"/>
    <x v="38"/>
    <n v="269.97000000000003"/>
  </r>
  <r>
    <s v="TRX0042"/>
    <x v="25"/>
    <s v="CUST019"/>
    <x v="29"/>
    <s v="P004"/>
    <x v="7"/>
    <x v="1"/>
    <n v="1"/>
    <n v="79.989999999999995"/>
    <x v="0"/>
    <x v="2"/>
    <x v="2"/>
    <x v="39"/>
    <n v="79.989999999999995"/>
  </r>
  <r>
    <s v="TRX0128"/>
    <x v="26"/>
    <s v="CUST040"/>
    <x v="30"/>
    <s v="P005"/>
    <x v="1"/>
    <x v="1"/>
    <n v="2"/>
    <n v="59.99"/>
    <x v="0"/>
    <x v="3"/>
    <x v="0"/>
    <x v="40"/>
    <n v="119.98"/>
  </r>
  <r>
    <s v="TRX0117"/>
    <x v="26"/>
    <s v="CUST017"/>
    <x v="6"/>
    <s v="P010"/>
    <x v="8"/>
    <x v="0"/>
    <n v="1"/>
    <n v="89.99"/>
    <x v="0"/>
    <x v="2"/>
    <x v="0"/>
    <x v="41"/>
    <n v="89.99"/>
  </r>
  <r>
    <s v="TRX0208"/>
    <x v="27"/>
    <s v="CUST004"/>
    <x v="31"/>
    <s v="P010"/>
    <x v="8"/>
    <x v="0"/>
    <n v="5"/>
    <n v="89.99"/>
    <x v="1"/>
    <x v="4"/>
    <x v="2"/>
    <x v="42"/>
    <n v="449.95"/>
  </r>
  <r>
    <s v="TRX0234"/>
    <x v="28"/>
    <s v="CUST013"/>
    <x v="1"/>
    <s v="P009"/>
    <x v="0"/>
    <x v="0"/>
    <n v="5"/>
    <n v="249.99"/>
    <x v="1"/>
    <x v="4"/>
    <x v="2"/>
    <x v="43"/>
    <n v="1249.95"/>
  </r>
  <r>
    <s v="TRX0121"/>
    <x v="28"/>
    <s v="CUST028"/>
    <x v="32"/>
    <s v="P010"/>
    <x v="8"/>
    <x v="0"/>
    <n v="1"/>
    <n v="89.99"/>
    <x v="1"/>
    <x v="1"/>
    <x v="2"/>
    <x v="44"/>
    <n v="89.99"/>
  </r>
  <r>
    <s v="TRX0220"/>
    <x v="29"/>
    <s v="CUST003"/>
    <x v="4"/>
    <s v="P008"/>
    <x v="2"/>
    <x v="2"/>
    <n v="2"/>
    <n v="149.99"/>
    <x v="0"/>
    <x v="4"/>
    <x v="1"/>
    <x v="45"/>
    <n v="299.98"/>
  </r>
  <r>
    <s v="TRX0093"/>
    <x v="30"/>
    <s v="CUST050"/>
    <x v="33"/>
    <s v="P005"/>
    <x v="1"/>
    <x v="1"/>
    <n v="4"/>
    <n v="59.99"/>
    <x v="0"/>
    <x v="4"/>
    <x v="2"/>
    <x v="46"/>
    <n v="239.96"/>
  </r>
  <r>
    <s v="TRX0088"/>
    <x v="31"/>
    <s v="CUST006"/>
    <x v="24"/>
    <s v="P010"/>
    <x v="8"/>
    <x v="0"/>
    <n v="5"/>
    <n v="89.99"/>
    <x v="0"/>
    <x v="0"/>
    <x v="1"/>
    <x v="47"/>
    <n v="449.95"/>
  </r>
  <r>
    <s v="TRX0115"/>
    <x v="32"/>
    <s v="CUST012"/>
    <x v="18"/>
    <s v="P010"/>
    <x v="8"/>
    <x v="0"/>
    <n v="2"/>
    <n v="89.99"/>
    <x v="1"/>
    <x v="1"/>
    <x v="1"/>
    <x v="48"/>
    <n v="179.98"/>
  </r>
  <r>
    <s v="TRX0154"/>
    <x v="32"/>
    <s v="CUST023"/>
    <x v="0"/>
    <s v="P001"/>
    <x v="4"/>
    <x v="0"/>
    <n v="5"/>
    <n v="899.99"/>
    <x v="1"/>
    <x v="1"/>
    <x v="2"/>
    <x v="49"/>
    <n v="4499.95"/>
  </r>
  <r>
    <s v="TRX0044"/>
    <x v="32"/>
    <s v="CUST029"/>
    <x v="23"/>
    <s v="P001"/>
    <x v="4"/>
    <x v="0"/>
    <n v="5"/>
    <n v="899.99"/>
    <x v="2"/>
    <x v="4"/>
    <x v="1"/>
    <x v="50"/>
    <n v="4499.95"/>
  </r>
  <r>
    <s v="TRX0061"/>
    <x v="33"/>
    <s v="CUST028"/>
    <x v="32"/>
    <s v="P005"/>
    <x v="1"/>
    <x v="1"/>
    <n v="1"/>
    <n v="59.99"/>
    <x v="3"/>
    <x v="3"/>
    <x v="1"/>
    <x v="51"/>
    <n v="59.99"/>
  </r>
  <r>
    <s v="TRX0150"/>
    <x v="33"/>
    <s v="CUST008"/>
    <x v="27"/>
    <s v="P007"/>
    <x v="6"/>
    <x v="2"/>
    <n v="2"/>
    <n v="299.99"/>
    <x v="3"/>
    <x v="4"/>
    <x v="2"/>
    <x v="52"/>
    <n v="599.98"/>
  </r>
  <r>
    <s v="TRX0025"/>
    <x v="34"/>
    <s v="CUST049"/>
    <x v="34"/>
    <s v="P010"/>
    <x v="8"/>
    <x v="0"/>
    <n v="4"/>
    <n v="89.99"/>
    <x v="3"/>
    <x v="1"/>
    <x v="0"/>
    <x v="53"/>
    <n v="359.96"/>
  </r>
  <r>
    <s v="TRX0078"/>
    <x v="35"/>
    <s v="CUST021"/>
    <x v="2"/>
    <s v="P004"/>
    <x v="7"/>
    <x v="1"/>
    <n v="1"/>
    <n v="79.989999999999995"/>
    <x v="2"/>
    <x v="0"/>
    <x v="1"/>
    <x v="54"/>
    <n v="79.989999999999995"/>
  </r>
  <r>
    <s v="TRX0007"/>
    <x v="35"/>
    <s v="CUST009"/>
    <x v="7"/>
    <s v="P010"/>
    <x v="8"/>
    <x v="0"/>
    <n v="2"/>
    <n v="89.99"/>
    <x v="0"/>
    <x v="3"/>
    <x v="0"/>
    <x v="55"/>
    <n v="179.98"/>
  </r>
  <r>
    <s v="TRX0184"/>
    <x v="36"/>
    <s v="CUST046"/>
    <x v="3"/>
    <s v="P002"/>
    <x v="5"/>
    <x v="0"/>
    <n v="3"/>
    <n v="699.99"/>
    <x v="1"/>
    <x v="4"/>
    <x v="1"/>
    <x v="56"/>
    <n v="2099.9699999999998"/>
  </r>
  <r>
    <s v="TRX0104"/>
    <x v="36"/>
    <s v="CUST012"/>
    <x v="18"/>
    <s v="P001"/>
    <x v="4"/>
    <x v="0"/>
    <n v="4"/>
    <n v="899.99"/>
    <x v="1"/>
    <x v="4"/>
    <x v="1"/>
    <x v="57"/>
    <n v="3599.96"/>
  </r>
  <r>
    <s v="TRX0127"/>
    <x v="37"/>
    <s v="CUST030"/>
    <x v="22"/>
    <s v="P008"/>
    <x v="2"/>
    <x v="2"/>
    <n v="1"/>
    <n v="149.99"/>
    <x v="2"/>
    <x v="4"/>
    <x v="0"/>
    <x v="58"/>
    <n v="149.99"/>
  </r>
  <r>
    <s v="TRX0096"/>
    <x v="38"/>
    <s v="CUST002"/>
    <x v="25"/>
    <s v="P010"/>
    <x v="8"/>
    <x v="0"/>
    <n v="2"/>
    <n v="89.99"/>
    <x v="2"/>
    <x v="0"/>
    <x v="1"/>
    <x v="59"/>
    <n v="179.98"/>
  </r>
  <r>
    <s v="TRX0192"/>
    <x v="39"/>
    <s v="CUST017"/>
    <x v="6"/>
    <s v="P010"/>
    <x v="8"/>
    <x v="0"/>
    <n v="1"/>
    <n v="89.99"/>
    <x v="2"/>
    <x v="3"/>
    <x v="2"/>
    <x v="60"/>
    <n v="89.99"/>
  </r>
  <r>
    <s v="TRX0052"/>
    <x v="40"/>
    <s v="CUST022"/>
    <x v="9"/>
    <s v="P010"/>
    <x v="8"/>
    <x v="0"/>
    <n v="1"/>
    <n v="89.99"/>
    <x v="0"/>
    <x v="1"/>
    <x v="2"/>
    <x v="61"/>
    <n v="89.99"/>
  </r>
  <r>
    <s v="TRX0070"/>
    <x v="40"/>
    <s v="CUST007"/>
    <x v="35"/>
    <s v="P004"/>
    <x v="7"/>
    <x v="1"/>
    <n v="5"/>
    <n v="79.989999999999995"/>
    <x v="3"/>
    <x v="0"/>
    <x v="0"/>
    <x v="62"/>
    <n v="399.95"/>
  </r>
  <r>
    <s v="TRX0086"/>
    <x v="41"/>
    <s v="CUST020"/>
    <x v="36"/>
    <s v="P008"/>
    <x v="2"/>
    <x v="2"/>
    <n v="1"/>
    <n v="149.99"/>
    <x v="2"/>
    <x v="2"/>
    <x v="0"/>
    <x v="63"/>
    <n v="149.99"/>
  </r>
  <r>
    <s v="TRX0113"/>
    <x v="41"/>
    <s v="CUST003"/>
    <x v="4"/>
    <s v="P002"/>
    <x v="5"/>
    <x v="0"/>
    <n v="2"/>
    <n v="699.99"/>
    <x v="2"/>
    <x v="4"/>
    <x v="1"/>
    <x v="64"/>
    <n v="1399.98"/>
  </r>
  <r>
    <s v="TRX0114"/>
    <x v="41"/>
    <s v="CUST018"/>
    <x v="17"/>
    <s v="P010"/>
    <x v="8"/>
    <x v="0"/>
    <n v="5"/>
    <n v="89.99"/>
    <x v="3"/>
    <x v="2"/>
    <x v="1"/>
    <x v="65"/>
    <n v="449.95"/>
  </r>
  <r>
    <s v="TRX0136"/>
    <x v="42"/>
    <s v="CUST049"/>
    <x v="34"/>
    <s v="P005"/>
    <x v="1"/>
    <x v="1"/>
    <n v="4"/>
    <n v="59.99"/>
    <x v="0"/>
    <x v="1"/>
    <x v="2"/>
    <x v="66"/>
    <n v="239.96"/>
  </r>
  <r>
    <s v="TRX0018"/>
    <x v="43"/>
    <s v="CUST013"/>
    <x v="1"/>
    <s v="P003"/>
    <x v="3"/>
    <x v="0"/>
    <n v="1"/>
    <n v="149.99"/>
    <x v="0"/>
    <x v="0"/>
    <x v="2"/>
    <x v="67"/>
    <n v="149.99"/>
  </r>
  <r>
    <s v="TRX0141"/>
    <x v="43"/>
    <s v="CUST033"/>
    <x v="37"/>
    <s v="P007"/>
    <x v="6"/>
    <x v="2"/>
    <n v="1"/>
    <n v="299.99"/>
    <x v="1"/>
    <x v="2"/>
    <x v="1"/>
    <x v="68"/>
    <n v="299.99"/>
  </r>
  <r>
    <s v="TRX0097"/>
    <x v="44"/>
    <s v="CUST033"/>
    <x v="37"/>
    <s v="P006"/>
    <x v="9"/>
    <x v="2"/>
    <n v="2"/>
    <n v="199.99"/>
    <x v="0"/>
    <x v="2"/>
    <x v="0"/>
    <x v="69"/>
    <n v="399.98"/>
  </r>
  <r>
    <s v="TRX0169"/>
    <x v="45"/>
    <s v="CUST047"/>
    <x v="38"/>
    <s v="P005"/>
    <x v="1"/>
    <x v="1"/>
    <n v="3"/>
    <n v="59.99"/>
    <x v="1"/>
    <x v="3"/>
    <x v="0"/>
    <x v="70"/>
    <n v="179.97"/>
  </r>
  <r>
    <s v="TRX0216"/>
    <x v="45"/>
    <s v="CUST041"/>
    <x v="10"/>
    <s v="P008"/>
    <x v="2"/>
    <x v="2"/>
    <n v="3"/>
    <n v="149.99"/>
    <x v="0"/>
    <x v="0"/>
    <x v="1"/>
    <x v="71"/>
    <n v="449.97"/>
  </r>
  <r>
    <s v="TRX0131"/>
    <x v="46"/>
    <s v="CUST026"/>
    <x v="8"/>
    <s v="P006"/>
    <x v="9"/>
    <x v="2"/>
    <n v="3"/>
    <n v="199.99"/>
    <x v="0"/>
    <x v="2"/>
    <x v="1"/>
    <x v="72"/>
    <n v="599.97"/>
  </r>
  <r>
    <s v="TRX0162"/>
    <x v="47"/>
    <s v="CUST040"/>
    <x v="30"/>
    <s v="P001"/>
    <x v="4"/>
    <x v="0"/>
    <n v="1"/>
    <n v="899.99"/>
    <x v="0"/>
    <x v="0"/>
    <x v="2"/>
    <x v="73"/>
    <n v="899.99"/>
  </r>
  <r>
    <s v="TRX0244"/>
    <x v="48"/>
    <s v="CUST013"/>
    <x v="1"/>
    <s v="P001"/>
    <x v="4"/>
    <x v="0"/>
    <n v="5"/>
    <n v="899.99"/>
    <x v="3"/>
    <x v="1"/>
    <x v="2"/>
    <x v="74"/>
    <n v="4499.95"/>
  </r>
  <r>
    <s v="TRX0006"/>
    <x v="49"/>
    <s v="CUST007"/>
    <x v="35"/>
    <s v="P005"/>
    <x v="1"/>
    <x v="1"/>
    <n v="2"/>
    <n v="59.99"/>
    <x v="0"/>
    <x v="2"/>
    <x v="2"/>
    <x v="75"/>
    <n v="119.98"/>
  </r>
  <r>
    <s v="TRX0215"/>
    <x v="49"/>
    <s v="CUST047"/>
    <x v="38"/>
    <s v="P009"/>
    <x v="0"/>
    <x v="0"/>
    <n v="4"/>
    <n v="249.99"/>
    <x v="3"/>
    <x v="0"/>
    <x v="2"/>
    <x v="76"/>
    <n v="999.96"/>
  </r>
  <r>
    <s v="TRX0080"/>
    <x v="50"/>
    <s v="CUST018"/>
    <x v="17"/>
    <s v="P009"/>
    <x v="0"/>
    <x v="0"/>
    <n v="2"/>
    <n v="249.99"/>
    <x v="0"/>
    <x v="2"/>
    <x v="1"/>
    <x v="77"/>
    <n v="499.98"/>
  </r>
  <r>
    <s v="TRX0228"/>
    <x v="50"/>
    <s v="CUST019"/>
    <x v="29"/>
    <s v="P007"/>
    <x v="6"/>
    <x v="2"/>
    <n v="1"/>
    <n v="299.99"/>
    <x v="0"/>
    <x v="1"/>
    <x v="0"/>
    <x v="78"/>
    <n v="299.99"/>
  </r>
  <r>
    <s v="TRX0157"/>
    <x v="51"/>
    <s v="CUST025"/>
    <x v="14"/>
    <s v="P010"/>
    <x v="8"/>
    <x v="0"/>
    <n v="2"/>
    <n v="89.99"/>
    <x v="2"/>
    <x v="1"/>
    <x v="0"/>
    <x v="79"/>
    <n v="179.98"/>
  </r>
  <r>
    <s v="TRX0002"/>
    <x v="51"/>
    <s v="CUST019"/>
    <x v="29"/>
    <s v="P007"/>
    <x v="6"/>
    <x v="2"/>
    <n v="3"/>
    <n v="299.99"/>
    <x v="0"/>
    <x v="0"/>
    <x v="0"/>
    <x v="80"/>
    <n v="899.97"/>
  </r>
  <r>
    <s v="TRX0217"/>
    <x v="52"/>
    <s v="CUST025"/>
    <x v="14"/>
    <s v="P002"/>
    <x v="5"/>
    <x v="0"/>
    <n v="2"/>
    <n v="699.99"/>
    <x v="1"/>
    <x v="2"/>
    <x v="1"/>
    <x v="81"/>
    <n v="1399.98"/>
  </r>
  <r>
    <s v="TRX0249"/>
    <x v="53"/>
    <s v="CUST030"/>
    <x v="22"/>
    <s v="P001"/>
    <x v="4"/>
    <x v="0"/>
    <n v="4"/>
    <n v="899.99"/>
    <x v="3"/>
    <x v="1"/>
    <x v="2"/>
    <x v="82"/>
    <n v="3599.96"/>
  </r>
  <r>
    <s v="TRX0065"/>
    <x v="54"/>
    <s v="CUST016"/>
    <x v="39"/>
    <s v="P008"/>
    <x v="2"/>
    <x v="2"/>
    <n v="2"/>
    <n v="149.99"/>
    <x v="1"/>
    <x v="3"/>
    <x v="0"/>
    <x v="83"/>
    <n v="299.98"/>
  </r>
  <r>
    <s v="TRX0176"/>
    <x v="55"/>
    <s v="CUST044"/>
    <x v="19"/>
    <s v="P008"/>
    <x v="2"/>
    <x v="2"/>
    <n v="2"/>
    <n v="149.99"/>
    <x v="3"/>
    <x v="4"/>
    <x v="2"/>
    <x v="84"/>
    <n v="299.98"/>
  </r>
  <r>
    <s v="TRX0101"/>
    <x v="56"/>
    <s v="CUST010"/>
    <x v="15"/>
    <s v="P010"/>
    <x v="8"/>
    <x v="0"/>
    <n v="1"/>
    <n v="89.99"/>
    <x v="1"/>
    <x v="2"/>
    <x v="2"/>
    <x v="85"/>
    <n v="89.99"/>
  </r>
  <r>
    <s v="TRX0205"/>
    <x v="57"/>
    <s v="CUST025"/>
    <x v="14"/>
    <s v="P007"/>
    <x v="6"/>
    <x v="2"/>
    <n v="5"/>
    <n v="299.99"/>
    <x v="1"/>
    <x v="2"/>
    <x v="0"/>
    <x v="86"/>
    <n v="1499.95"/>
  </r>
  <r>
    <s v="TRX0020"/>
    <x v="58"/>
    <s v="CUST007"/>
    <x v="35"/>
    <s v="P003"/>
    <x v="3"/>
    <x v="0"/>
    <n v="4"/>
    <n v="149.99"/>
    <x v="3"/>
    <x v="1"/>
    <x v="1"/>
    <x v="87"/>
    <n v="599.96"/>
  </r>
  <r>
    <s v="TRX0075"/>
    <x v="58"/>
    <s v="CUST020"/>
    <x v="36"/>
    <s v="P009"/>
    <x v="0"/>
    <x v="0"/>
    <n v="5"/>
    <n v="249.99"/>
    <x v="2"/>
    <x v="4"/>
    <x v="1"/>
    <x v="88"/>
    <n v="1249.95"/>
  </r>
  <r>
    <s v="TRX0098"/>
    <x v="58"/>
    <s v="CUST026"/>
    <x v="8"/>
    <s v="P009"/>
    <x v="0"/>
    <x v="0"/>
    <n v="3"/>
    <n v="249.99"/>
    <x v="2"/>
    <x v="2"/>
    <x v="1"/>
    <x v="89"/>
    <n v="749.97"/>
  </r>
  <r>
    <s v="TRX0247"/>
    <x v="58"/>
    <s v="CUST046"/>
    <x v="3"/>
    <s v="P006"/>
    <x v="9"/>
    <x v="2"/>
    <n v="4"/>
    <n v="199.99"/>
    <x v="0"/>
    <x v="2"/>
    <x v="2"/>
    <x v="90"/>
    <n v="799.96"/>
  </r>
  <r>
    <s v="TRX0027"/>
    <x v="59"/>
    <s v="CUST028"/>
    <x v="32"/>
    <s v="P006"/>
    <x v="9"/>
    <x v="2"/>
    <n v="5"/>
    <n v="199.99"/>
    <x v="0"/>
    <x v="2"/>
    <x v="1"/>
    <x v="91"/>
    <n v="999.95"/>
  </r>
  <r>
    <s v="TRX0140"/>
    <x v="60"/>
    <s v="CUST025"/>
    <x v="14"/>
    <s v="P010"/>
    <x v="8"/>
    <x v="0"/>
    <n v="2"/>
    <n v="89.99"/>
    <x v="0"/>
    <x v="4"/>
    <x v="1"/>
    <x v="92"/>
    <n v="179.98"/>
  </r>
  <r>
    <s v="TRX0132"/>
    <x v="61"/>
    <s v="CUST047"/>
    <x v="38"/>
    <s v="P001"/>
    <x v="4"/>
    <x v="0"/>
    <n v="5"/>
    <n v="899.99"/>
    <x v="3"/>
    <x v="4"/>
    <x v="0"/>
    <x v="93"/>
    <n v="4499.95"/>
  </r>
  <r>
    <s v="TRX0031"/>
    <x v="61"/>
    <s v="CUST036"/>
    <x v="20"/>
    <s v="P003"/>
    <x v="3"/>
    <x v="0"/>
    <n v="3"/>
    <n v="149.99"/>
    <x v="2"/>
    <x v="4"/>
    <x v="0"/>
    <x v="94"/>
    <n v="449.97"/>
  </r>
  <r>
    <s v="TRX0236"/>
    <x v="62"/>
    <s v="CUST044"/>
    <x v="19"/>
    <s v="P008"/>
    <x v="2"/>
    <x v="2"/>
    <n v="5"/>
    <n v="149.99"/>
    <x v="1"/>
    <x v="0"/>
    <x v="0"/>
    <x v="95"/>
    <n v="749.95"/>
  </r>
  <r>
    <s v="TRX0001"/>
    <x v="63"/>
    <s v="CUST039"/>
    <x v="40"/>
    <s v="P004"/>
    <x v="7"/>
    <x v="1"/>
    <n v="3"/>
    <n v="79.989999999999995"/>
    <x v="0"/>
    <x v="0"/>
    <x v="1"/>
    <x v="96"/>
    <n v="239.97"/>
  </r>
  <r>
    <s v="TRX0037"/>
    <x v="63"/>
    <s v="CUST035"/>
    <x v="28"/>
    <s v="P009"/>
    <x v="0"/>
    <x v="0"/>
    <n v="2"/>
    <n v="249.99"/>
    <x v="0"/>
    <x v="1"/>
    <x v="2"/>
    <x v="97"/>
    <n v="499.98"/>
  </r>
  <r>
    <s v="TRX0058"/>
    <x v="64"/>
    <s v="CUST047"/>
    <x v="38"/>
    <s v="P002"/>
    <x v="5"/>
    <x v="0"/>
    <n v="1"/>
    <n v="699.99"/>
    <x v="0"/>
    <x v="0"/>
    <x v="1"/>
    <x v="98"/>
    <n v="699.99"/>
  </r>
  <r>
    <s v="TRX0170"/>
    <x v="64"/>
    <s v="CUST034"/>
    <x v="41"/>
    <s v="P003"/>
    <x v="3"/>
    <x v="0"/>
    <n v="3"/>
    <n v="149.99"/>
    <x v="0"/>
    <x v="3"/>
    <x v="1"/>
    <x v="99"/>
    <n v="449.97"/>
  </r>
  <r>
    <s v="TRX0248"/>
    <x v="65"/>
    <s v="CUST032"/>
    <x v="42"/>
    <s v="P002"/>
    <x v="5"/>
    <x v="0"/>
    <n v="2"/>
    <n v="699.99"/>
    <x v="1"/>
    <x v="2"/>
    <x v="1"/>
    <x v="63"/>
    <n v="1399.98"/>
  </r>
  <r>
    <s v="TRX0099"/>
    <x v="66"/>
    <s v="CUST034"/>
    <x v="41"/>
    <s v="P009"/>
    <x v="0"/>
    <x v="0"/>
    <n v="1"/>
    <n v="249.99"/>
    <x v="1"/>
    <x v="3"/>
    <x v="1"/>
    <x v="100"/>
    <n v="249.99"/>
  </r>
  <r>
    <s v="TRX0074"/>
    <x v="66"/>
    <s v="CUST023"/>
    <x v="0"/>
    <s v="P009"/>
    <x v="0"/>
    <x v="0"/>
    <n v="1"/>
    <n v="249.99"/>
    <x v="3"/>
    <x v="2"/>
    <x v="1"/>
    <x v="101"/>
    <n v="249.99"/>
  </r>
  <r>
    <s v="TRX0225"/>
    <x v="67"/>
    <s v="CUST039"/>
    <x v="40"/>
    <s v="P002"/>
    <x v="5"/>
    <x v="0"/>
    <n v="2"/>
    <n v="699.99"/>
    <x v="3"/>
    <x v="0"/>
    <x v="1"/>
    <x v="102"/>
    <n v="1399.98"/>
  </r>
  <r>
    <s v="TRX0100"/>
    <x v="68"/>
    <s v="CUST031"/>
    <x v="26"/>
    <s v="P005"/>
    <x v="1"/>
    <x v="1"/>
    <n v="3"/>
    <n v="59.99"/>
    <x v="1"/>
    <x v="0"/>
    <x v="1"/>
    <x v="103"/>
    <n v="179.97"/>
  </r>
  <r>
    <s v="TRX0142"/>
    <x v="69"/>
    <s v="CUST002"/>
    <x v="25"/>
    <s v="P005"/>
    <x v="1"/>
    <x v="1"/>
    <n v="3"/>
    <n v="59.99"/>
    <x v="2"/>
    <x v="4"/>
    <x v="2"/>
    <x v="104"/>
    <n v="179.97"/>
  </r>
  <r>
    <s v="TRX0112"/>
    <x v="69"/>
    <s v="CUST008"/>
    <x v="27"/>
    <s v="P004"/>
    <x v="7"/>
    <x v="1"/>
    <n v="4"/>
    <n v="79.989999999999995"/>
    <x v="0"/>
    <x v="2"/>
    <x v="0"/>
    <x v="105"/>
    <n v="319.95999999999998"/>
  </r>
  <r>
    <s v="TRX0161"/>
    <x v="70"/>
    <s v="CUST017"/>
    <x v="6"/>
    <s v="P004"/>
    <x v="7"/>
    <x v="1"/>
    <n v="1"/>
    <n v="79.989999999999995"/>
    <x v="0"/>
    <x v="3"/>
    <x v="0"/>
    <x v="106"/>
    <n v="79.989999999999995"/>
  </r>
  <r>
    <s v="TRX0108"/>
    <x v="71"/>
    <s v="CUST024"/>
    <x v="5"/>
    <s v="P007"/>
    <x v="6"/>
    <x v="2"/>
    <n v="3"/>
    <n v="299.99"/>
    <x v="1"/>
    <x v="0"/>
    <x v="1"/>
    <x v="107"/>
    <n v="899.97"/>
  </r>
  <r>
    <s v="TRX0211"/>
    <x v="72"/>
    <s v="CUST046"/>
    <x v="3"/>
    <s v="P010"/>
    <x v="8"/>
    <x v="0"/>
    <n v="2"/>
    <n v="89.99"/>
    <x v="1"/>
    <x v="1"/>
    <x v="1"/>
    <x v="108"/>
    <n v="179.98"/>
  </r>
  <r>
    <s v="TRX0005"/>
    <x v="73"/>
    <s v="CUST042"/>
    <x v="43"/>
    <s v="P003"/>
    <x v="3"/>
    <x v="0"/>
    <n v="4"/>
    <n v="149.99"/>
    <x v="0"/>
    <x v="2"/>
    <x v="0"/>
    <x v="67"/>
    <n v="599.96"/>
  </r>
  <r>
    <s v="TRX0195"/>
    <x v="74"/>
    <s v="CUST026"/>
    <x v="8"/>
    <s v="P009"/>
    <x v="0"/>
    <x v="0"/>
    <n v="2"/>
    <n v="249.99"/>
    <x v="2"/>
    <x v="1"/>
    <x v="0"/>
    <x v="57"/>
    <n v="499.98"/>
  </r>
  <r>
    <s v="TRX0054"/>
    <x v="74"/>
    <s v="CUST004"/>
    <x v="31"/>
    <s v="P006"/>
    <x v="9"/>
    <x v="2"/>
    <n v="4"/>
    <n v="199.99"/>
    <x v="3"/>
    <x v="4"/>
    <x v="0"/>
    <x v="90"/>
    <n v="799.96"/>
  </r>
  <r>
    <s v="TRX0077"/>
    <x v="75"/>
    <s v="CUST019"/>
    <x v="29"/>
    <s v="P010"/>
    <x v="8"/>
    <x v="0"/>
    <n v="5"/>
    <n v="89.99"/>
    <x v="1"/>
    <x v="4"/>
    <x v="1"/>
    <x v="109"/>
    <n v="449.95"/>
  </r>
  <r>
    <s v="TRX0111"/>
    <x v="75"/>
    <s v="CUST011"/>
    <x v="44"/>
    <s v="P003"/>
    <x v="3"/>
    <x v="0"/>
    <n v="1"/>
    <n v="149.99"/>
    <x v="2"/>
    <x v="4"/>
    <x v="2"/>
    <x v="110"/>
    <n v="149.99"/>
  </r>
  <r>
    <s v="TRX0123"/>
    <x v="75"/>
    <s v="CUST041"/>
    <x v="10"/>
    <s v="P002"/>
    <x v="5"/>
    <x v="0"/>
    <n v="4"/>
    <n v="699.99"/>
    <x v="2"/>
    <x v="1"/>
    <x v="0"/>
    <x v="111"/>
    <n v="2799.96"/>
  </r>
  <r>
    <s v="TRX0177"/>
    <x v="76"/>
    <s v="CUST032"/>
    <x v="42"/>
    <s v="P001"/>
    <x v="4"/>
    <x v="0"/>
    <n v="3"/>
    <n v="899.99"/>
    <x v="1"/>
    <x v="2"/>
    <x v="2"/>
    <x v="112"/>
    <n v="2699.97"/>
  </r>
  <r>
    <s v="TRX0119"/>
    <x v="77"/>
    <s v="CUST014"/>
    <x v="21"/>
    <s v="P008"/>
    <x v="2"/>
    <x v="2"/>
    <n v="3"/>
    <n v="149.99"/>
    <x v="2"/>
    <x v="4"/>
    <x v="0"/>
    <x v="113"/>
    <n v="449.97"/>
  </r>
  <r>
    <s v="TRX0181"/>
    <x v="78"/>
    <s v="CUST012"/>
    <x v="18"/>
    <s v="P007"/>
    <x v="6"/>
    <x v="2"/>
    <n v="2"/>
    <n v="299.99"/>
    <x v="3"/>
    <x v="0"/>
    <x v="0"/>
    <x v="114"/>
    <n v="599.98"/>
  </r>
  <r>
    <s v="TRX0129"/>
    <x v="79"/>
    <s v="CUST015"/>
    <x v="45"/>
    <s v="P006"/>
    <x v="9"/>
    <x v="2"/>
    <n v="1"/>
    <n v="199.99"/>
    <x v="3"/>
    <x v="4"/>
    <x v="2"/>
    <x v="115"/>
    <n v="199.99"/>
  </r>
  <r>
    <s v="TRX0174"/>
    <x v="80"/>
    <s v="CUST003"/>
    <x v="4"/>
    <s v="P007"/>
    <x v="6"/>
    <x v="2"/>
    <n v="4"/>
    <n v="299.99"/>
    <x v="0"/>
    <x v="0"/>
    <x v="1"/>
    <x v="116"/>
    <n v="1199.96"/>
  </r>
  <r>
    <s v="TRX0146"/>
    <x v="81"/>
    <s v="CUST010"/>
    <x v="15"/>
    <s v="P005"/>
    <x v="1"/>
    <x v="1"/>
    <n v="2"/>
    <n v="59.99"/>
    <x v="1"/>
    <x v="0"/>
    <x v="0"/>
    <x v="47"/>
    <n v="119.98"/>
  </r>
  <r>
    <s v="TRX0203"/>
    <x v="81"/>
    <s v="CUST032"/>
    <x v="42"/>
    <s v="P003"/>
    <x v="3"/>
    <x v="0"/>
    <n v="4"/>
    <n v="149.99"/>
    <x v="1"/>
    <x v="2"/>
    <x v="1"/>
    <x v="117"/>
    <n v="599.96"/>
  </r>
  <r>
    <s v="TRX0055"/>
    <x v="82"/>
    <s v="CUST016"/>
    <x v="39"/>
    <s v="P002"/>
    <x v="5"/>
    <x v="0"/>
    <n v="2"/>
    <n v="699.99"/>
    <x v="3"/>
    <x v="4"/>
    <x v="1"/>
    <x v="118"/>
    <n v="1399.98"/>
  </r>
  <r>
    <s v="TRX0218"/>
    <x v="82"/>
    <s v="CUST034"/>
    <x v="41"/>
    <s v="P008"/>
    <x v="2"/>
    <x v="2"/>
    <n v="3"/>
    <n v="149.99"/>
    <x v="1"/>
    <x v="1"/>
    <x v="2"/>
    <x v="119"/>
    <n v="449.97"/>
  </r>
  <r>
    <s v="TRX0085"/>
    <x v="83"/>
    <s v="CUST019"/>
    <x v="29"/>
    <s v="P007"/>
    <x v="6"/>
    <x v="2"/>
    <n v="3"/>
    <n v="299.99"/>
    <x v="1"/>
    <x v="0"/>
    <x v="2"/>
    <x v="120"/>
    <n v="899.97"/>
  </r>
  <r>
    <s v="TRX0158"/>
    <x v="84"/>
    <s v="CUST027"/>
    <x v="13"/>
    <s v="P001"/>
    <x v="4"/>
    <x v="0"/>
    <n v="3"/>
    <n v="899.99"/>
    <x v="2"/>
    <x v="3"/>
    <x v="0"/>
    <x v="121"/>
    <n v="2699.97"/>
  </r>
  <r>
    <s v="TRX0173"/>
    <x v="85"/>
    <s v="CUST018"/>
    <x v="17"/>
    <s v="P002"/>
    <x v="5"/>
    <x v="0"/>
    <n v="5"/>
    <n v="699.99"/>
    <x v="0"/>
    <x v="4"/>
    <x v="2"/>
    <x v="122"/>
    <n v="3499.95"/>
  </r>
  <r>
    <s v="TRX0034"/>
    <x v="85"/>
    <s v="CUST049"/>
    <x v="34"/>
    <s v="P002"/>
    <x v="5"/>
    <x v="0"/>
    <n v="4"/>
    <n v="699.99"/>
    <x v="1"/>
    <x v="0"/>
    <x v="0"/>
    <x v="123"/>
    <n v="2799.96"/>
  </r>
  <r>
    <s v="TRX0189"/>
    <x v="85"/>
    <s v="CUST040"/>
    <x v="30"/>
    <s v="P001"/>
    <x v="4"/>
    <x v="0"/>
    <n v="1"/>
    <n v="899.99"/>
    <x v="1"/>
    <x v="4"/>
    <x v="2"/>
    <x v="124"/>
    <n v="899.99"/>
  </r>
  <r>
    <s v="TRX0190"/>
    <x v="86"/>
    <s v="CUST039"/>
    <x v="40"/>
    <s v="P003"/>
    <x v="3"/>
    <x v="0"/>
    <n v="2"/>
    <n v="149.99"/>
    <x v="1"/>
    <x v="3"/>
    <x v="0"/>
    <x v="125"/>
    <n v="299.98"/>
  </r>
  <r>
    <s v="TRX0079"/>
    <x v="87"/>
    <s v="CUST039"/>
    <x v="40"/>
    <s v="P010"/>
    <x v="8"/>
    <x v="0"/>
    <n v="3"/>
    <n v="89.99"/>
    <x v="2"/>
    <x v="0"/>
    <x v="0"/>
    <x v="126"/>
    <n v="269.97000000000003"/>
  </r>
  <r>
    <s v="TRX0095"/>
    <x v="88"/>
    <s v="CUST046"/>
    <x v="3"/>
    <s v="P003"/>
    <x v="3"/>
    <x v="0"/>
    <n v="2"/>
    <n v="149.99"/>
    <x v="2"/>
    <x v="0"/>
    <x v="0"/>
    <x v="127"/>
    <n v="299.98"/>
  </r>
  <r>
    <s v="TRX0009"/>
    <x v="88"/>
    <s v="CUST004"/>
    <x v="31"/>
    <s v="P002"/>
    <x v="5"/>
    <x v="0"/>
    <n v="2"/>
    <n v="699.99"/>
    <x v="0"/>
    <x v="0"/>
    <x v="0"/>
    <x v="128"/>
    <n v="1399.98"/>
  </r>
  <r>
    <s v="TRX0167"/>
    <x v="89"/>
    <s v="CUST028"/>
    <x v="32"/>
    <s v="P002"/>
    <x v="5"/>
    <x v="0"/>
    <n v="5"/>
    <n v="699.99"/>
    <x v="0"/>
    <x v="2"/>
    <x v="1"/>
    <x v="129"/>
    <n v="3499.95"/>
  </r>
  <r>
    <s v="TRX0153"/>
    <x v="90"/>
    <s v="CUST049"/>
    <x v="34"/>
    <s v="P010"/>
    <x v="8"/>
    <x v="0"/>
    <n v="3"/>
    <n v="89.99"/>
    <x v="1"/>
    <x v="2"/>
    <x v="2"/>
    <x v="130"/>
    <n v="269.97000000000003"/>
  </r>
  <r>
    <s v="TRX0057"/>
    <x v="91"/>
    <s v="CUST023"/>
    <x v="0"/>
    <s v="P009"/>
    <x v="0"/>
    <x v="0"/>
    <n v="5"/>
    <n v="249.99"/>
    <x v="1"/>
    <x v="1"/>
    <x v="2"/>
    <x v="131"/>
    <n v="1249.95"/>
  </r>
  <r>
    <s v="TRX0017"/>
    <x v="92"/>
    <s v="CUST026"/>
    <x v="8"/>
    <s v="P007"/>
    <x v="6"/>
    <x v="2"/>
    <n v="3"/>
    <n v="299.99"/>
    <x v="1"/>
    <x v="1"/>
    <x v="2"/>
    <x v="132"/>
    <n v="899.97"/>
  </r>
  <r>
    <s v="TRX0060"/>
    <x v="93"/>
    <s v="CUST012"/>
    <x v="18"/>
    <s v="P010"/>
    <x v="8"/>
    <x v="0"/>
    <n v="3"/>
    <n v="89.99"/>
    <x v="1"/>
    <x v="2"/>
    <x v="1"/>
    <x v="133"/>
    <n v="269.97000000000003"/>
  </r>
  <r>
    <s v="TRX0109"/>
    <x v="94"/>
    <s v="CUST010"/>
    <x v="15"/>
    <s v="P008"/>
    <x v="2"/>
    <x v="2"/>
    <n v="2"/>
    <n v="149.99"/>
    <x v="1"/>
    <x v="3"/>
    <x v="1"/>
    <x v="134"/>
    <n v="299.98"/>
  </r>
  <r>
    <s v="TRX0090"/>
    <x v="95"/>
    <s v="CUST020"/>
    <x v="36"/>
    <s v="P009"/>
    <x v="0"/>
    <x v="0"/>
    <n v="1"/>
    <n v="249.99"/>
    <x v="1"/>
    <x v="2"/>
    <x v="1"/>
    <x v="135"/>
    <n v="249.99"/>
  </r>
  <r>
    <s v="TRX0035"/>
    <x v="96"/>
    <s v="CUST041"/>
    <x v="10"/>
    <s v="P003"/>
    <x v="3"/>
    <x v="0"/>
    <n v="3"/>
    <n v="149.99"/>
    <x v="0"/>
    <x v="2"/>
    <x v="0"/>
    <x v="136"/>
    <n v="449.97"/>
  </r>
  <r>
    <s v="TRX0172"/>
    <x v="96"/>
    <s v="CUST023"/>
    <x v="0"/>
    <s v="P005"/>
    <x v="1"/>
    <x v="1"/>
    <n v="5"/>
    <n v="59.99"/>
    <x v="2"/>
    <x v="3"/>
    <x v="1"/>
    <x v="137"/>
    <n v="299.95"/>
  </r>
  <r>
    <s v="TRX0076"/>
    <x v="96"/>
    <s v="CUST012"/>
    <x v="18"/>
    <s v="P009"/>
    <x v="0"/>
    <x v="0"/>
    <n v="4"/>
    <n v="249.99"/>
    <x v="1"/>
    <x v="3"/>
    <x v="2"/>
    <x v="138"/>
    <n v="999.96"/>
  </r>
  <r>
    <s v="TRX0210"/>
    <x v="97"/>
    <s v="CUST004"/>
    <x v="31"/>
    <s v="P008"/>
    <x v="2"/>
    <x v="2"/>
    <n v="5"/>
    <n v="149.99"/>
    <x v="2"/>
    <x v="0"/>
    <x v="0"/>
    <x v="139"/>
    <n v="749.95"/>
  </r>
  <r>
    <s v="TRX0149"/>
    <x v="97"/>
    <s v="CUST027"/>
    <x v="13"/>
    <s v="P005"/>
    <x v="1"/>
    <x v="1"/>
    <n v="3"/>
    <n v="59.99"/>
    <x v="3"/>
    <x v="1"/>
    <x v="2"/>
    <x v="140"/>
    <n v="179.97"/>
  </r>
  <r>
    <s v="TRX0073"/>
    <x v="98"/>
    <s v="CUST032"/>
    <x v="42"/>
    <s v="P008"/>
    <x v="2"/>
    <x v="2"/>
    <n v="5"/>
    <n v="149.99"/>
    <x v="0"/>
    <x v="2"/>
    <x v="0"/>
    <x v="141"/>
    <n v="749.95"/>
  </r>
  <r>
    <s v="TRX0033"/>
    <x v="98"/>
    <s v="CUST025"/>
    <x v="14"/>
    <s v="P002"/>
    <x v="5"/>
    <x v="0"/>
    <n v="2"/>
    <n v="699.99"/>
    <x v="2"/>
    <x v="3"/>
    <x v="2"/>
    <x v="142"/>
    <n v="1399.98"/>
  </r>
  <r>
    <s v="TRX0160"/>
    <x v="99"/>
    <s v="CUST029"/>
    <x v="23"/>
    <s v="P006"/>
    <x v="9"/>
    <x v="2"/>
    <n v="4"/>
    <n v="199.99"/>
    <x v="3"/>
    <x v="0"/>
    <x v="1"/>
    <x v="143"/>
    <n v="799.96"/>
  </r>
  <r>
    <s v="TRX0145"/>
    <x v="100"/>
    <s v="CUST033"/>
    <x v="37"/>
    <s v="P005"/>
    <x v="1"/>
    <x v="1"/>
    <n v="1"/>
    <n v="59.99"/>
    <x v="3"/>
    <x v="3"/>
    <x v="2"/>
    <x v="144"/>
    <n v="59.99"/>
  </r>
  <r>
    <s v="TRX0148"/>
    <x v="100"/>
    <s v="CUST004"/>
    <x v="31"/>
    <s v="P002"/>
    <x v="5"/>
    <x v="0"/>
    <n v="3"/>
    <n v="699.99"/>
    <x v="2"/>
    <x v="3"/>
    <x v="2"/>
    <x v="145"/>
    <n v="2099.9699999999998"/>
  </r>
  <r>
    <s v="TRX0012"/>
    <x v="101"/>
    <s v="CUST045"/>
    <x v="46"/>
    <s v="P009"/>
    <x v="0"/>
    <x v="0"/>
    <n v="5"/>
    <n v="249.99"/>
    <x v="1"/>
    <x v="2"/>
    <x v="0"/>
    <x v="146"/>
    <n v="1249.95"/>
  </r>
  <r>
    <s v="TRX0206"/>
    <x v="102"/>
    <s v="CUST014"/>
    <x v="21"/>
    <s v="P008"/>
    <x v="2"/>
    <x v="2"/>
    <n v="2"/>
    <n v="149.99"/>
    <x v="0"/>
    <x v="1"/>
    <x v="2"/>
    <x v="147"/>
    <n v="299.98"/>
  </r>
  <r>
    <s v="TRX0045"/>
    <x v="103"/>
    <s v="CUST021"/>
    <x v="2"/>
    <s v="P007"/>
    <x v="6"/>
    <x v="2"/>
    <n v="3"/>
    <n v="299.99"/>
    <x v="0"/>
    <x v="1"/>
    <x v="1"/>
    <x v="138"/>
    <n v="899.97"/>
  </r>
  <r>
    <s v="TRX0094"/>
    <x v="103"/>
    <s v="CUST017"/>
    <x v="6"/>
    <s v="P009"/>
    <x v="0"/>
    <x v="0"/>
    <n v="5"/>
    <n v="249.99"/>
    <x v="0"/>
    <x v="0"/>
    <x v="1"/>
    <x v="148"/>
    <n v="1249.95"/>
  </r>
  <r>
    <s v="TRX0133"/>
    <x v="103"/>
    <s v="CUST013"/>
    <x v="1"/>
    <s v="P003"/>
    <x v="3"/>
    <x v="0"/>
    <n v="2"/>
    <n v="149.99"/>
    <x v="0"/>
    <x v="1"/>
    <x v="1"/>
    <x v="149"/>
    <n v="299.98"/>
  </r>
  <r>
    <s v="TRX0201"/>
    <x v="103"/>
    <s v="CUST025"/>
    <x v="14"/>
    <s v="P002"/>
    <x v="5"/>
    <x v="0"/>
    <n v="5"/>
    <n v="699.99"/>
    <x v="3"/>
    <x v="3"/>
    <x v="2"/>
    <x v="150"/>
    <n v="3499.95"/>
  </r>
  <r>
    <s v="TRX0137"/>
    <x v="104"/>
    <s v="CUST011"/>
    <x v="44"/>
    <s v="P009"/>
    <x v="0"/>
    <x v="0"/>
    <n v="4"/>
    <n v="249.99"/>
    <x v="2"/>
    <x v="4"/>
    <x v="1"/>
    <x v="151"/>
    <n v="999.96"/>
  </r>
  <r>
    <s v="TRX0066"/>
    <x v="105"/>
    <s v="CUST024"/>
    <x v="5"/>
    <s v="P002"/>
    <x v="5"/>
    <x v="0"/>
    <n v="4"/>
    <n v="699.99"/>
    <x v="1"/>
    <x v="2"/>
    <x v="1"/>
    <x v="152"/>
    <n v="2799.96"/>
  </r>
  <r>
    <s v="TRX0180"/>
    <x v="106"/>
    <s v="CUST036"/>
    <x v="20"/>
    <s v="P009"/>
    <x v="0"/>
    <x v="0"/>
    <n v="2"/>
    <n v="249.99"/>
    <x v="1"/>
    <x v="0"/>
    <x v="1"/>
    <x v="153"/>
    <n v="499.98"/>
  </r>
  <r>
    <s v="TRX0082"/>
    <x v="106"/>
    <s v="CUST005"/>
    <x v="47"/>
    <s v="P005"/>
    <x v="1"/>
    <x v="1"/>
    <n v="3"/>
    <n v="59.99"/>
    <x v="0"/>
    <x v="0"/>
    <x v="1"/>
    <x v="154"/>
    <n v="179.97"/>
  </r>
  <r>
    <s v="TRX0036"/>
    <x v="106"/>
    <s v="CUST008"/>
    <x v="27"/>
    <s v="P004"/>
    <x v="7"/>
    <x v="1"/>
    <n v="4"/>
    <n v="79.989999999999995"/>
    <x v="3"/>
    <x v="4"/>
    <x v="2"/>
    <x v="155"/>
    <n v="319.95999999999998"/>
  </r>
  <r>
    <s v="TRX0198"/>
    <x v="107"/>
    <s v="CUST030"/>
    <x v="22"/>
    <s v="P004"/>
    <x v="7"/>
    <x v="1"/>
    <n v="3"/>
    <n v="79.989999999999995"/>
    <x v="3"/>
    <x v="4"/>
    <x v="2"/>
    <x v="96"/>
    <n v="239.97"/>
  </r>
  <r>
    <s v="TRX0032"/>
    <x v="108"/>
    <s v="CUST041"/>
    <x v="10"/>
    <s v="P001"/>
    <x v="4"/>
    <x v="0"/>
    <n v="2"/>
    <n v="899.99"/>
    <x v="0"/>
    <x v="2"/>
    <x v="0"/>
    <x v="156"/>
    <n v="1799.98"/>
  </r>
  <r>
    <s v="TRX0081"/>
    <x v="109"/>
    <s v="CUST007"/>
    <x v="35"/>
    <s v="P008"/>
    <x v="2"/>
    <x v="2"/>
    <n v="1"/>
    <n v="149.99"/>
    <x v="3"/>
    <x v="4"/>
    <x v="2"/>
    <x v="157"/>
    <n v="149.99"/>
  </r>
  <r>
    <s v="TRX0224"/>
    <x v="109"/>
    <s v="CUST031"/>
    <x v="26"/>
    <s v="P007"/>
    <x v="6"/>
    <x v="2"/>
    <n v="2"/>
    <n v="299.99"/>
    <x v="0"/>
    <x v="4"/>
    <x v="1"/>
    <x v="158"/>
    <n v="599.98"/>
  </r>
  <r>
    <s v="TRX0028"/>
    <x v="110"/>
    <s v="CUST002"/>
    <x v="25"/>
    <s v="P005"/>
    <x v="1"/>
    <x v="1"/>
    <n v="2"/>
    <n v="59.99"/>
    <x v="0"/>
    <x v="3"/>
    <x v="0"/>
    <x v="159"/>
    <n v="119.98"/>
  </r>
  <r>
    <s v="TRX0183"/>
    <x v="111"/>
    <s v="CUST007"/>
    <x v="35"/>
    <s v="P010"/>
    <x v="8"/>
    <x v="0"/>
    <n v="1"/>
    <n v="89.99"/>
    <x v="3"/>
    <x v="0"/>
    <x v="2"/>
    <x v="160"/>
    <n v="89.99"/>
  </r>
  <r>
    <s v="TRX0163"/>
    <x v="111"/>
    <s v="CUST019"/>
    <x v="29"/>
    <s v="P001"/>
    <x v="4"/>
    <x v="0"/>
    <n v="5"/>
    <n v="899.99"/>
    <x v="3"/>
    <x v="4"/>
    <x v="2"/>
    <x v="161"/>
    <n v="4499.95"/>
  </r>
  <r>
    <s v="TRX0046"/>
    <x v="112"/>
    <s v="CUST003"/>
    <x v="4"/>
    <s v="P008"/>
    <x v="2"/>
    <x v="2"/>
    <n v="2"/>
    <n v="149.99"/>
    <x v="0"/>
    <x v="1"/>
    <x v="0"/>
    <x v="162"/>
    <n v="299.98"/>
  </r>
  <r>
    <s v="TRX0164"/>
    <x v="113"/>
    <s v="CUST014"/>
    <x v="21"/>
    <s v="P003"/>
    <x v="3"/>
    <x v="0"/>
    <n v="2"/>
    <n v="149.99"/>
    <x v="3"/>
    <x v="3"/>
    <x v="1"/>
    <x v="163"/>
    <n v="299.98"/>
  </r>
  <r>
    <s v="TRX0008"/>
    <x v="113"/>
    <s v="CUST007"/>
    <x v="35"/>
    <s v="P008"/>
    <x v="2"/>
    <x v="2"/>
    <n v="3"/>
    <n v="149.99"/>
    <x v="3"/>
    <x v="2"/>
    <x v="2"/>
    <x v="164"/>
    <n v="449.97"/>
  </r>
  <r>
    <s v="TRX0171"/>
    <x v="114"/>
    <s v="CUST021"/>
    <x v="2"/>
    <s v="P007"/>
    <x v="6"/>
    <x v="2"/>
    <n v="2"/>
    <n v="299.99"/>
    <x v="2"/>
    <x v="1"/>
    <x v="0"/>
    <x v="165"/>
    <n v="599.98"/>
  </r>
  <r>
    <s v="TRX0143"/>
    <x v="115"/>
    <s v="CUST003"/>
    <x v="4"/>
    <s v="P007"/>
    <x v="6"/>
    <x v="2"/>
    <n v="2"/>
    <n v="299.99"/>
    <x v="0"/>
    <x v="3"/>
    <x v="0"/>
    <x v="166"/>
    <n v="599.98"/>
  </r>
  <r>
    <s v="TRX0165"/>
    <x v="115"/>
    <s v="CUST030"/>
    <x v="22"/>
    <s v="P006"/>
    <x v="9"/>
    <x v="2"/>
    <n v="4"/>
    <n v="199.99"/>
    <x v="1"/>
    <x v="0"/>
    <x v="0"/>
    <x v="82"/>
    <n v="799.96"/>
  </r>
  <r>
    <s v="TRX0156"/>
    <x v="116"/>
    <s v="CUST009"/>
    <x v="7"/>
    <s v="P010"/>
    <x v="8"/>
    <x v="0"/>
    <n v="1"/>
    <n v="89.99"/>
    <x v="1"/>
    <x v="1"/>
    <x v="1"/>
    <x v="167"/>
    <n v="89.99"/>
  </r>
  <r>
    <s v="TRX0147"/>
    <x v="116"/>
    <s v="CUST036"/>
    <x v="20"/>
    <s v="P008"/>
    <x v="2"/>
    <x v="2"/>
    <n v="5"/>
    <n v="149.99"/>
    <x v="0"/>
    <x v="0"/>
    <x v="1"/>
    <x v="168"/>
    <n v="749.95"/>
  </r>
  <r>
    <s v="TRX0207"/>
    <x v="117"/>
    <s v="CUST025"/>
    <x v="14"/>
    <s v="P001"/>
    <x v="4"/>
    <x v="0"/>
    <n v="1"/>
    <n v="899.99"/>
    <x v="2"/>
    <x v="2"/>
    <x v="1"/>
    <x v="169"/>
    <n v="899.99"/>
  </r>
  <r>
    <s v="TRX0056"/>
    <x v="118"/>
    <s v="CUST019"/>
    <x v="29"/>
    <s v="P010"/>
    <x v="8"/>
    <x v="0"/>
    <n v="2"/>
    <n v="89.99"/>
    <x v="1"/>
    <x v="1"/>
    <x v="1"/>
    <x v="170"/>
    <n v="179.98"/>
  </r>
  <r>
    <s v="TRX0026"/>
    <x v="119"/>
    <s v="CUST037"/>
    <x v="48"/>
    <s v="P001"/>
    <x v="4"/>
    <x v="0"/>
    <n v="1"/>
    <n v="899.99"/>
    <x v="2"/>
    <x v="2"/>
    <x v="2"/>
    <x v="171"/>
    <n v="899.99"/>
  </r>
  <r>
    <s v="TRX0237"/>
    <x v="120"/>
    <s v="CUST006"/>
    <x v="24"/>
    <s v="P003"/>
    <x v="3"/>
    <x v="0"/>
    <n v="5"/>
    <n v="149.99"/>
    <x v="2"/>
    <x v="4"/>
    <x v="1"/>
    <x v="34"/>
    <n v="749.95"/>
  </r>
  <r>
    <s v="TRX0091"/>
    <x v="120"/>
    <s v="CUST003"/>
    <x v="4"/>
    <s v="P007"/>
    <x v="6"/>
    <x v="2"/>
    <n v="3"/>
    <n v="299.99"/>
    <x v="0"/>
    <x v="1"/>
    <x v="2"/>
    <x v="172"/>
    <n v="899.97"/>
  </r>
  <r>
    <s v="TRX0125"/>
    <x v="121"/>
    <s v="CUST026"/>
    <x v="8"/>
    <s v="P002"/>
    <x v="5"/>
    <x v="0"/>
    <n v="3"/>
    <n v="699.99"/>
    <x v="1"/>
    <x v="0"/>
    <x v="1"/>
    <x v="173"/>
    <n v="2099.9699999999998"/>
  </r>
  <r>
    <s v="TRX0223"/>
    <x v="122"/>
    <s v="CUST036"/>
    <x v="20"/>
    <s v="P006"/>
    <x v="9"/>
    <x v="2"/>
    <n v="5"/>
    <n v="199.99"/>
    <x v="2"/>
    <x v="0"/>
    <x v="2"/>
    <x v="174"/>
    <n v="999.95"/>
  </r>
  <r>
    <s v="TRX0243"/>
    <x v="122"/>
    <s v="CUST048"/>
    <x v="16"/>
    <s v="P009"/>
    <x v="0"/>
    <x v="0"/>
    <n v="5"/>
    <n v="249.99"/>
    <x v="1"/>
    <x v="1"/>
    <x v="0"/>
    <x v="175"/>
    <n v="1249.95"/>
  </r>
  <r>
    <s v="TRX0084"/>
    <x v="123"/>
    <s v="CUST031"/>
    <x v="26"/>
    <s v="P003"/>
    <x v="3"/>
    <x v="0"/>
    <n v="4"/>
    <n v="149.99"/>
    <x v="3"/>
    <x v="4"/>
    <x v="2"/>
    <x v="176"/>
    <n v="599.96"/>
  </r>
  <r>
    <s v="TRX0238"/>
    <x v="123"/>
    <s v="CUST038"/>
    <x v="12"/>
    <s v="P002"/>
    <x v="5"/>
    <x v="0"/>
    <n v="3"/>
    <n v="699.99"/>
    <x v="0"/>
    <x v="2"/>
    <x v="1"/>
    <x v="177"/>
    <n v="2099.9699999999998"/>
  </r>
  <r>
    <s v="TRX0102"/>
    <x v="124"/>
    <s v="CUST045"/>
    <x v="46"/>
    <s v="P004"/>
    <x v="7"/>
    <x v="1"/>
    <n v="1"/>
    <n v="79.989999999999995"/>
    <x v="1"/>
    <x v="1"/>
    <x v="0"/>
    <x v="178"/>
    <n v="79.989999999999995"/>
  </r>
  <r>
    <s v="TRX0022"/>
    <x v="124"/>
    <s v="CUST025"/>
    <x v="14"/>
    <s v="P007"/>
    <x v="6"/>
    <x v="2"/>
    <n v="1"/>
    <n v="299.99"/>
    <x v="1"/>
    <x v="2"/>
    <x v="0"/>
    <x v="179"/>
    <n v="299.99"/>
  </r>
  <r>
    <s v="TRX0087"/>
    <x v="125"/>
    <s v="CUST028"/>
    <x v="32"/>
    <s v="P009"/>
    <x v="0"/>
    <x v="0"/>
    <n v="4"/>
    <n v="249.99"/>
    <x v="1"/>
    <x v="2"/>
    <x v="1"/>
    <x v="116"/>
    <n v="999.96"/>
  </r>
  <r>
    <s v="TRX0107"/>
    <x v="125"/>
    <s v="CUST030"/>
    <x v="22"/>
    <s v="P003"/>
    <x v="3"/>
    <x v="0"/>
    <n v="2"/>
    <n v="149.99"/>
    <x v="0"/>
    <x v="2"/>
    <x v="2"/>
    <x v="180"/>
    <n v="299.98"/>
  </r>
  <r>
    <s v="TRX0051"/>
    <x v="125"/>
    <s v="CUST032"/>
    <x v="42"/>
    <s v="P007"/>
    <x v="6"/>
    <x v="2"/>
    <n v="3"/>
    <n v="299.99"/>
    <x v="1"/>
    <x v="1"/>
    <x v="0"/>
    <x v="181"/>
    <n v="899.97"/>
  </r>
  <r>
    <s v="TRX0106"/>
    <x v="126"/>
    <s v="CUST039"/>
    <x v="40"/>
    <s v="P006"/>
    <x v="9"/>
    <x v="2"/>
    <n v="4"/>
    <n v="199.99"/>
    <x v="3"/>
    <x v="1"/>
    <x v="2"/>
    <x v="182"/>
    <n v="799.96"/>
  </r>
  <r>
    <s v="TRX0059"/>
    <x v="126"/>
    <s v="CUST016"/>
    <x v="39"/>
    <s v="P007"/>
    <x v="6"/>
    <x v="2"/>
    <n v="5"/>
    <n v="299.99"/>
    <x v="3"/>
    <x v="0"/>
    <x v="0"/>
    <x v="183"/>
    <n v="1499.95"/>
  </r>
  <r>
    <s v="TRX0072"/>
    <x v="126"/>
    <s v="CUST009"/>
    <x v="7"/>
    <s v="P008"/>
    <x v="2"/>
    <x v="2"/>
    <n v="3"/>
    <n v="149.99"/>
    <x v="1"/>
    <x v="4"/>
    <x v="2"/>
    <x v="184"/>
    <n v="449.97"/>
  </r>
  <r>
    <s v="TRX0110"/>
    <x v="127"/>
    <s v="CUST006"/>
    <x v="24"/>
    <s v="P005"/>
    <x v="1"/>
    <x v="1"/>
    <n v="5"/>
    <n v="59.99"/>
    <x v="3"/>
    <x v="4"/>
    <x v="0"/>
    <x v="185"/>
    <n v="299.95"/>
  </r>
  <r>
    <s v="TRX0126"/>
    <x v="128"/>
    <s v="CUST022"/>
    <x v="9"/>
    <s v="P005"/>
    <x v="1"/>
    <x v="1"/>
    <n v="4"/>
    <n v="59.99"/>
    <x v="3"/>
    <x v="4"/>
    <x v="2"/>
    <x v="170"/>
    <n v="239.96"/>
  </r>
  <r>
    <s v="TRX0159"/>
    <x v="129"/>
    <s v="CUST024"/>
    <x v="5"/>
    <s v="P009"/>
    <x v="0"/>
    <x v="0"/>
    <n v="4"/>
    <n v="249.99"/>
    <x v="3"/>
    <x v="0"/>
    <x v="1"/>
    <x v="186"/>
    <n v="999.96"/>
  </r>
  <r>
    <s v="TRX0030"/>
    <x v="130"/>
    <s v="CUST011"/>
    <x v="44"/>
    <s v="P001"/>
    <x v="4"/>
    <x v="0"/>
    <n v="4"/>
    <n v="899.99"/>
    <x v="2"/>
    <x v="0"/>
    <x v="0"/>
    <x v="187"/>
    <n v="3599.96"/>
  </r>
  <r>
    <s v="TRX0178"/>
    <x v="130"/>
    <s v="CUST025"/>
    <x v="14"/>
    <s v="P007"/>
    <x v="6"/>
    <x v="2"/>
    <n v="3"/>
    <n v="299.99"/>
    <x v="3"/>
    <x v="3"/>
    <x v="2"/>
    <x v="188"/>
    <n v="899.97"/>
  </r>
  <r>
    <s v="TRX0188"/>
    <x v="130"/>
    <s v="CUST045"/>
    <x v="46"/>
    <s v="P002"/>
    <x v="5"/>
    <x v="0"/>
    <n v="2"/>
    <n v="699.99"/>
    <x v="3"/>
    <x v="0"/>
    <x v="1"/>
    <x v="189"/>
    <n v="1399.98"/>
  </r>
  <r>
    <s v="TRX0010"/>
    <x v="131"/>
    <s v="CUST026"/>
    <x v="8"/>
    <s v="P002"/>
    <x v="5"/>
    <x v="0"/>
    <n v="4"/>
    <n v="699.99"/>
    <x v="3"/>
    <x v="3"/>
    <x v="1"/>
    <x v="190"/>
    <n v="2799.96"/>
  </r>
  <r>
    <s v="TRX0069"/>
    <x v="131"/>
    <s v="CUST029"/>
    <x v="23"/>
    <s v="P010"/>
    <x v="8"/>
    <x v="0"/>
    <n v="2"/>
    <n v="89.99"/>
    <x v="3"/>
    <x v="1"/>
    <x v="0"/>
    <x v="191"/>
    <n v="179.98"/>
  </r>
  <r>
    <s v="TRX0166"/>
    <x v="131"/>
    <s v="CUST003"/>
    <x v="4"/>
    <s v="P010"/>
    <x v="8"/>
    <x v="0"/>
    <n v="3"/>
    <n v="89.99"/>
    <x v="3"/>
    <x v="1"/>
    <x v="1"/>
    <x v="192"/>
    <n v="269.97000000000003"/>
  </r>
  <r>
    <s v="TRX0219"/>
    <x v="132"/>
    <s v="CUST037"/>
    <x v="48"/>
    <s v="P005"/>
    <x v="1"/>
    <x v="1"/>
    <n v="1"/>
    <n v="59.99"/>
    <x v="3"/>
    <x v="0"/>
    <x v="2"/>
    <x v="193"/>
    <n v="59.99"/>
  </r>
  <r>
    <s v="TRX0024"/>
    <x v="133"/>
    <s v="CUST042"/>
    <x v="43"/>
    <s v="P008"/>
    <x v="2"/>
    <x v="2"/>
    <n v="3"/>
    <n v="149.99"/>
    <x v="3"/>
    <x v="2"/>
    <x v="1"/>
    <x v="170"/>
    <n v="449.97"/>
  </r>
  <r>
    <s v="TRX0105"/>
    <x v="133"/>
    <s v="CUST048"/>
    <x v="16"/>
    <s v="P007"/>
    <x v="6"/>
    <x v="2"/>
    <n v="5"/>
    <n v="299.99"/>
    <x v="1"/>
    <x v="1"/>
    <x v="0"/>
    <x v="194"/>
    <n v="1499.95"/>
  </r>
  <r>
    <s v="TRX0011"/>
    <x v="134"/>
    <s v="CUST040"/>
    <x v="30"/>
    <s v="P005"/>
    <x v="1"/>
    <x v="1"/>
    <n v="5"/>
    <n v="59.99"/>
    <x v="3"/>
    <x v="0"/>
    <x v="2"/>
    <x v="195"/>
    <n v="299.95"/>
  </r>
  <r>
    <s v="TRX0187"/>
    <x v="135"/>
    <s v="CUST036"/>
    <x v="20"/>
    <s v="P004"/>
    <x v="7"/>
    <x v="1"/>
    <n v="3"/>
    <n v="79.989999999999995"/>
    <x v="0"/>
    <x v="4"/>
    <x v="1"/>
    <x v="179"/>
    <n v="239.97"/>
  </r>
  <r>
    <s v="TRX0089"/>
    <x v="136"/>
    <s v="CUST021"/>
    <x v="2"/>
    <s v="P006"/>
    <x v="9"/>
    <x v="2"/>
    <n v="3"/>
    <n v="199.99"/>
    <x v="0"/>
    <x v="0"/>
    <x v="0"/>
    <x v="196"/>
    <n v="599.97"/>
  </r>
  <r>
    <s v="TRX0196"/>
    <x v="136"/>
    <s v="CUST023"/>
    <x v="0"/>
    <s v="P010"/>
    <x v="8"/>
    <x v="0"/>
    <n v="2"/>
    <n v="89.99"/>
    <x v="2"/>
    <x v="0"/>
    <x v="0"/>
    <x v="197"/>
    <n v="179.98"/>
  </r>
  <r>
    <s v="TRX0118"/>
    <x v="137"/>
    <s v="CUST015"/>
    <x v="45"/>
    <s v="P008"/>
    <x v="2"/>
    <x v="2"/>
    <n v="2"/>
    <n v="149.99"/>
    <x v="0"/>
    <x v="1"/>
    <x v="1"/>
    <x v="198"/>
    <n v="299.98"/>
  </r>
  <r>
    <s v="TRX0179"/>
    <x v="138"/>
    <s v="CUST029"/>
    <x v="23"/>
    <s v="P002"/>
    <x v="5"/>
    <x v="0"/>
    <n v="5"/>
    <n v="699.99"/>
    <x v="2"/>
    <x v="1"/>
    <x v="1"/>
    <x v="54"/>
    <n v="3499.95"/>
  </r>
  <r>
    <s v="TRX0168"/>
    <x v="138"/>
    <s v="CUST003"/>
    <x v="4"/>
    <s v="P008"/>
    <x v="2"/>
    <x v="2"/>
    <n v="3"/>
    <n v="149.99"/>
    <x v="2"/>
    <x v="0"/>
    <x v="2"/>
    <x v="174"/>
    <n v="449.97"/>
  </r>
  <r>
    <s v="TRX0214"/>
    <x v="139"/>
    <s v="CUST018"/>
    <x v="17"/>
    <s v="P001"/>
    <x v="4"/>
    <x v="0"/>
    <n v="3"/>
    <n v="899.99"/>
    <x v="0"/>
    <x v="4"/>
    <x v="2"/>
    <x v="199"/>
    <n v="2699.97"/>
  </r>
  <r>
    <s v="TRX0221"/>
    <x v="139"/>
    <s v="CUST033"/>
    <x v="37"/>
    <s v="P006"/>
    <x v="9"/>
    <x v="2"/>
    <n v="3"/>
    <n v="199.99"/>
    <x v="0"/>
    <x v="3"/>
    <x v="1"/>
    <x v="31"/>
    <n v="599.97"/>
  </r>
  <r>
    <s v="TRX0083"/>
    <x v="140"/>
    <s v="CUST017"/>
    <x v="6"/>
    <s v="P007"/>
    <x v="6"/>
    <x v="2"/>
    <n v="5"/>
    <n v="299.99"/>
    <x v="0"/>
    <x v="3"/>
    <x v="2"/>
    <x v="200"/>
    <n v="1499.95"/>
  </r>
  <r>
    <s v="TRX0151"/>
    <x v="140"/>
    <s v="CUST040"/>
    <x v="30"/>
    <s v="P002"/>
    <x v="5"/>
    <x v="0"/>
    <n v="1"/>
    <n v="699.99"/>
    <x v="2"/>
    <x v="3"/>
    <x v="0"/>
    <x v="201"/>
    <n v="699.99"/>
  </r>
  <r>
    <s v="TRX0047"/>
    <x v="141"/>
    <s v="CUST042"/>
    <x v="43"/>
    <s v="P002"/>
    <x v="5"/>
    <x v="0"/>
    <n v="1"/>
    <n v="699.99"/>
    <x v="0"/>
    <x v="2"/>
    <x v="1"/>
    <x v="145"/>
    <n v="699.99"/>
  </r>
  <r>
    <s v="TRX0200"/>
    <x v="141"/>
    <s v="CUST037"/>
    <x v="48"/>
    <s v="P008"/>
    <x v="2"/>
    <x v="2"/>
    <n v="4"/>
    <n v="149.99"/>
    <x v="2"/>
    <x v="2"/>
    <x v="1"/>
    <x v="30"/>
    <n v="599.96"/>
  </r>
  <r>
    <s v="TRX0062"/>
    <x v="141"/>
    <s v="CUST016"/>
    <x v="39"/>
    <s v="P010"/>
    <x v="8"/>
    <x v="0"/>
    <n v="5"/>
    <n v="89.99"/>
    <x v="2"/>
    <x v="3"/>
    <x v="1"/>
    <x v="202"/>
    <n v="449.95"/>
  </r>
  <r>
    <s v="TRX0182"/>
    <x v="142"/>
    <s v="CUST031"/>
    <x v="26"/>
    <s v="P006"/>
    <x v="9"/>
    <x v="2"/>
    <n v="2"/>
    <n v="199.99"/>
    <x v="0"/>
    <x v="0"/>
    <x v="1"/>
    <x v="203"/>
    <n v="399.98"/>
  </r>
  <r>
    <s v="TRX0229"/>
    <x v="143"/>
    <s v="CUST015"/>
    <x v="45"/>
    <s v="P005"/>
    <x v="1"/>
    <x v="1"/>
    <n v="4"/>
    <n v="59.99"/>
    <x v="0"/>
    <x v="3"/>
    <x v="2"/>
    <x v="204"/>
    <n v="239.96"/>
  </r>
  <r>
    <s v="TRX0048"/>
    <x v="143"/>
    <s v="CUST048"/>
    <x v="16"/>
    <s v="P007"/>
    <x v="6"/>
    <x v="2"/>
    <n v="2"/>
    <n v="299.99"/>
    <x v="2"/>
    <x v="1"/>
    <x v="0"/>
    <x v="205"/>
    <n v="599.98"/>
  </r>
  <r>
    <s v="TRX0227"/>
    <x v="144"/>
    <s v="CUST017"/>
    <x v="6"/>
    <s v="P008"/>
    <x v="2"/>
    <x v="2"/>
    <n v="2"/>
    <n v="149.99"/>
    <x v="0"/>
    <x v="0"/>
    <x v="0"/>
    <x v="32"/>
    <n v="299.98"/>
  </r>
  <r>
    <s v="TRX0226"/>
    <x v="145"/>
    <s v="CUST039"/>
    <x v="40"/>
    <s v="P002"/>
    <x v="5"/>
    <x v="0"/>
    <n v="5"/>
    <n v="699.99"/>
    <x v="3"/>
    <x v="4"/>
    <x v="1"/>
    <x v="65"/>
    <n v="3499.95"/>
  </r>
  <r>
    <s v="TRX0053"/>
    <x v="146"/>
    <s v="CUST043"/>
    <x v="11"/>
    <s v="P005"/>
    <x v="1"/>
    <x v="1"/>
    <n v="5"/>
    <n v="59.99"/>
    <x v="0"/>
    <x v="3"/>
    <x v="1"/>
    <x v="206"/>
    <n v="299.95"/>
  </r>
  <r>
    <s v="TRX0233"/>
    <x v="147"/>
    <s v="CUST023"/>
    <x v="0"/>
    <s v="P010"/>
    <x v="8"/>
    <x v="0"/>
    <n v="2"/>
    <n v="89.99"/>
    <x v="1"/>
    <x v="3"/>
    <x v="1"/>
    <x v="4"/>
    <n v="179.98"/>
  </r>
  <r>
    <s v="TRX0175"/>
    <x v="147"/>
    <s v="CUST030"/>
    <x v="22"/>
    <s v="P009"/>
    <x v="0"/>
    <x v="0"/>
    <n v="5"/>
    <n v="249.99"/>
    <x v="0"/>
    <x v="4"/>
    <x v="2"/>
    <x v="207"/>
    <n v="1249.95"/>
  </r>
  <r>
    <s v="TRX0186"/>
    <x v="148"/>
    <s v="CUST039"/>
    <x v="40"/>
    <s v="P008"/>
    <x v="2"/>
    <x v="2"/>
    <n v="2"/>
    <n v="149.99"/>
    <x v="2"/>
    <x v="0"/>
    <x v="1"/>
    <x v="208"/>
    <n v="299.98"/>
  </r>
  <r>
    <s v="TRX0016"/>
    <x v="148"/>
    <s v="CUST035"/>
    <x v="28"/>
    <s v="P001"/>
    <x v="4"/>
    <x v="0"/>
    <n v="5"/>
    <n v="899.99"/>
    <x v="2"/>
    <x v="4"/>
    <x v="1"/>
    <x v="64"/>
    <n v="4499.95"/>
  </r>
  <r>
    <s v="TRX0199"/>
    <x v="148"/>
    <s v="CUST017"/>
    <x v="6"/>
    <s v="P008"/>
    <x v="2"/>
    <x v="2"/>
    <n v="4"/>
    <n v="149.99"/>
    <x v="0"/>
    <x v="0"/>
    <x v="2"/>
    <x v="209"/>
    <n v="599.96"/>
  </r>
  <r>
    <s v="TRX0038"/>
    <x v="149"/>
    <s v="CUST035"/>
    <x v="28"/>
    <s v="P009"/>
    <x v="0"/>
    <x v="0"/>
    <n v="1"/>
    <n v="249.99"/>
    <x v="0"/>
    <x v="2"/>
    <x v="2"/>
    <x v="210"/>
    <n v="249.99"/>
  </r>
  <r>
    <s v="TRX0014"/>
    <x v="150"/>
    <s v="CUST033"/>
    <x v="37"/>
    <s v="P005"/>
    <x v="1"/>
    <x v="1"/>
    <n v="2"/>
    <n v="59.99"/>
    <x v="1"/>
    <x v="3"/>
    <x v="0"/>
    <x v="211"/>
    <n v="119.98"/>
  </r>
  <r>
    <s v="TRX0003"/>
    <x v="151"/>
    <s v="CUST002"/>
    <x v="25"/>
    <s v="P008"/>
    <x v="2"/>
    <x v="2"/>
    <n v="2"/>
    <n v="149.99"/>
    <x v="0"/>
    <x v="3"/>
    <x v="1"/>
    <x v="212"/>
    <n v="299.98"/>
  </r>
  <r>
    <s v="TRX0124"/>
    <x v="151"/>
    <s v="CUST040"/>
    <x v="30"/>
    <s v="P001"/>
    <x v="4"/>
    <x v="0"/>
    <n v="3"/>
    <n v="899.99"/>
    <x v="3"/>
    <x v="2"/>
    <x v="1"/>
    <x v="213"/>
    <n v="2699.97"/>
  </r>
  <r>
    <s v="TRX0013"/>
    <x v="151"/>
    <s v="CUST024"/>
    <x v="5"/>
    <s v="P001"/>
    <x v="4"/>
    <x v="0"/>
    <n v="3"/>
    <n v="899.99"/>
    <x v="2"/>
    <x v="2"/>
    <x v="0"/>
    <x v="214"/>
    <n v="2699.97"/>
  </r>
  <r>
    <s v="TRX0019"/>
    <x v="152"/>
    <s v="CUST023"/>
    <x v="0"/>
    <s v="P007"/>
    <x v="6"/>
    <x v="2"/>
    <n v="3"/>
    <n v="299.99"/>
    <x v="1"/>
    <x v="3"/>
    <x v="1"/>
    <x v="215"/>
    <n v="899.97"/>
  </r>
  <r>
    <s v="TRX0050"/>
    <x v="153"/>
    <s v="CUST001"/>
    <x v="49"/>
    <s v="P008"/>
    <x v="2"/>
    <x v="2"/>
    <n v="4"/>
    <n v="149.99"/>
    <x v="2"/>
    <x v="3"/>
    <x v="2"/>
    <x v="144"/>
    <n v="599.96"/>
  </r>
  <r>
    <s v="TRX0152"/>
    <x v="154"/>
    <s v="CUST044"/>
    <x v="19"/>
    <s v="P004"/>
    <x v="7"/>
    <x v="1"/>
    <n v="4"/>
    <n v="79.989999999999995"/>
    <x v="1"/>
    <x v="0"/>
    <x v="0"/>
    <x v="216"/>
    <n v="319.95999999999998"/>
  </r>
  <r>
    <s v="TRX0213"/>
    <x v="155"/>
    <s v="CUST020"/>
    <x v="36"/>
    <s v="P010"/>
    <x v="8"/>
    <x v="0"/>
    <n v="5"/>
    <n v="89.99"/>
    <x v="2"/>
    <x v="1"/>
    <x v="0"/>
    <x v="217"/>
    <n v="449.95"/>
  </r>
  <r>
    <s v="TRX0197"/>
    <x v="156"/>
    <s v="CUST048"/>
    <x v="16"/>
    <s v="P008"/>
    <x v="2"/>
    <x v="2"/>
    <n v="3"/>
    <n v="149.99"/>
    <x v="2"/>
    <x v="0"/>
    <x v="2"/>
    <x v="218"/>
    <n v="449.97"/>
  </r>
  <r>
    <s v="TRX0250"/>
    <x v="156"/>
    <s v="CUST026"/>
    <x v="8"/>
    <s v="P010"/>
    <x v="8"/>
    <x v="0"/>
    <n v="2"/>
    <n v="89.99"/>
    <x v="3"/>
    <x v="3"/>
    <x v="1"/>
    <x v="164"/>
    <n v="179.98"/>
  </r>
  <r>
    <s v="TRX0068"/>
    <x v="157"/>
    <s v="CUST044"/>
    <x v="19"/>
    <s v="P002"/>
    <x v="5"/>
    <x v="0"/>
    <n v="2"/>
    <n v="699.99"/>
    <x v="2"/>
    <x v="2"/>
    <x v="2"/>
    <x v="111"/>
    <n v="1399.98"/>
  </r>
  <r>
    <s v="TRX0144"/>
    <x v="158"/>
    <s v="CUST029"/>
    <x v="23"/>
    <s v="P001"/>
    <x v="4"/>
    <x v="0"/>
    <n v="3"/>
    <n v="899.99"/>
    <x v="0"/>
    <x v="0"/>
    <x v="2"/>
    <x v="115"/>
    <n v="2699.97"/>
  </r>
  <r>
    <s v="TRX0039"/>
    <x v="159"/>
    <s v="CUST048"/>
    <x v="16"/>
    <s v="P004"/>
    <x v="7"/>
    <x v="1"/>
    <n v="3"/>
    <n v="79.989999999999995"/>
    <x v="1"/>
    <x v="2"/>
    <x v="0"/>
    <x v="219"/>
    <n v="239.97"/>
  </r>
  <r>
    <s v="TRX0116"/>
    <x v="160"/>
    <s v="CUST009"/>
    <x v="7"/>
    <s v="P010"/>
    <x v="8"/>
    <x v="0"/>
    <n v="1"/>
    <n v="89.99"/>
    <x v="3"/>
    <x v="4"/>
    <x v="0"/>
    <x v="220"/>
    <n v="89.99"/>
  </r>
  <r>
    <s v="TRX0120"/>
    <x v="161"/>
    <s v="CUST045"/>
    <x v="46"/>
    <s v="P002"/>
    <x v="5"/>
    <x v="0"/>
    <n v="3"/>
    <n v="699.99"/>
    <x v="2"/>
    <x v="2"/>
    <x v="0"/>
    <x v="67"/>
    <n v="2099.9699999999998"/>
  </r>
  <r>
    <s v="TRX0103"/>
    <x v="161"/>
    <s v="CUST039"/>
    <x v="40"/>
    <s v="P010"/>
    <x v="8"/>
    <x v="0"/>
    <n v="2"/>
    <n v="89.99"/>
    <x v="3"/>
    <x v="4"/>
    <x v="0"/>
    <x v="221"/>
    <n v="179.98"/>
  </r>
  <r>
    <s v="TRX0064"/>
    <x v="161"/>
    <s v="CUST031"/>
    <x v="26"/>
    <s v="P010"/>
    <x v="8"/>
    <x v="0"/>
    <n v="3"/>
    <n v="89.99"/>
    <x v="3"/>
    <x v="2"/>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55B914-8E69-4F12-8F49-0AA18D62902D}" name="payment_method wise revenue"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6:B21" firstHeaderRow="1" firstDataRow="1" firstDataCol="1"/>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compact="0" outline="0" showAll="0">
      <items count="6">
        <item x="0"/>
        <item x="4"/>
        <item x="2"/>
        <item x="1"/>
        <item x="3"/>
        <item t="default"/>
      </items>
    </pivotField>
    <pivotField compact="0" outline="0" showAll="0"/>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9"/>
  </rowFields>
  <rowItems count="5">
    <i>
      <x v="1"/>
    </i>
    <i>
      <x v="3"/>
    </i>
    <i>
      <x/>
    </i>
    <i>
      <x v="2"/>
    </i>
    <i t="grand">
      <x/>
    </i>
  </rowItems>
  <colItems count="1">
    <i/>
  </colItems>
  <dataFields count="1">
    <dataField name="Sum of Total_Amount" fld="13" baseField="0" baseItem="0"/>
  </dataFields>
  <formats count="10">
    <format dxfId="83">
      <pivotArea type="all" dataOnly="0" outline="0" fieldPosition="0"/>
    </format>
    <format dxfId="82">
      <pivotArea outline="0" collapsedLevelsAreSubtotals="1" fieldPosition="0"/>
    </format>
    <format dxfId="81">
      <pivotArea field="10" type="button" dataOnly="0" labelOnly="1" outline="0"/>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0" type="button" dataOnly="0" labelOnly="1" outline="0"/>
    </format>
    <format dxfId="75">
      <pivotArea dataOnly="0" labelOnly="1" grandRow="1" outline="0" fieldPosition="0"/>
    </format>
    <format dxfId="74">
      <pivotArea dataOnly="0" labelOnly="1" outline="0" axis="axisValues"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3"/>
          </reference>
        </references>
      </pivotArea>
    </chartFormat>
    <chartFormat chart="5" format="2">
      <pivotArea type="data" outline="0" fieldPosition="0">
        <references count="2">
          <reference field="4294967294" count="1" selected="0">
            <x v="0"/>
          </reference>
          <reference field="9" count="1" selected="0">
            <x v="2"/>
          </reference>
        </references>
      </pivotArea>
    </chartFormat>
    <chartFormat chart="5" format="3">
      <pivotArea type="data" outline="0" fieldPosition="0">
        <references count="2">
          <reference field="4294967294" count="1" selected="0">
            <x v="0"/>
          </reference>
          <reference field="9" count="1" selected="0">
            <x v="1"/>
          </reference>
        </references>
      </pivotArea>
    </chartFormat>
    <chartFormat chart="5" format="4">
      <pivotArea type="data" outline="0" fieldPosition="0">
        <references count="2">
          <reference field="4294967294" count="1" selected="0">
            <x v="0"/>
          </reference>
          <reference field="9"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9" count="1" selected="0">
            <x v="0"/>
          </reference>
        </references>
      </pivotArea>
    </chartFormat>
    <chartFormat chart="8" format="12">
      <pivotArea type="data" outline="0" fieldPosition="0">
        <references count="2">
          <reference field="4294967294" count="1" selected="0">
            <x v="0"/>
          </reference>
          <reference field="9" count="1" selected="0">
            <x v="1"/>
          </reference>
        </references>
      </pivotArea>
    </chartFormat>
    <chartFormat chart="8" format="13">
      <pivotArea type="data" outline="0" fieldPosition="0">
        <references count="2">
          <reference field="4294967294" count="1" selected="0">
            <x v="0"/>
          </reference>
          <reference field="9" count="1" selected="0">
            <x v="2"/>
          </reference>
        </references>
      </pivotArea>
    </chartFormat>
    <chartFormat chart="8"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2F27C-AD44-408F-9A75-07911452D09C}" name="Regionwise total revenue"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A5:B11" firstHeaderRow="1" firstDataRow="1" firstDataCol="1"/>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pivotField compact="0" outline="0" showAll="0"/>
    <pivotField compact="0" outline="0" showAll="0">
      <items count="11">
        <item x="1"/>
        <item x="2"/>
        <item x="7"/>
        <item x="6"/>
        <item x="3"/>
        <item x="8"/>
        <item x="4"/>
        <item x="0"/>
        <item x="9"/>
        <item x="5"/>
        <item t="default"/>
      </items>
    </pivotField>
    <pivotField compact="0" outline="0" showAll="0"/>
    <pivotField compact="0" outline="0" showAll="0"/>
    <pivotField compact="0" outline="0" showAll="0"/>
    <pivotField compact="0" outline="0" showAll="0"/>
    <pivotField axis="axisRow" compact="0" outline="0"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compact="0" outline="0" showAll="0"/>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0"/>
  </rowFields>
  <rowItems count="6">
    <i>
      <x v="1"/>
    </i>
    <i>
      <x v="2"/>
    </i>
    <i>
      <x v="4"/>
    </i>
    <i>
      <x/>
    </i>
    <i>
      <x v="3"/>
    </i>
    <i t="grand">
      <x/>
    </i>
  </rowItems>
  <colItems count="1">
    <i/>
  </colItems>
  <dataFields count="1">
    <dataField name="Sum of Total_Amount" fld="13" baseField="0" baseItem="0"/>
  </dataFields>
  <formats count="12">
    <format dxfId="95">
      <pivotArea type="all" dataOnly="0" outline="0" fieldPosition="0"/>
    </format>
    <format dxfId="94">
      <pivotArea outline="0" collapsedLevelsAreSubtotals="1" fieldPosition="0"/>
    </format>
    <format dxfId="93">
      <pivotArea field="10" type="button" dataOnly="0" labelOnly="1" outline="0" axis="axisRow" fieldPosition="0"/>
    </format>
    <format dxfId="92">
      <pivotArea dataOnly="0" labelOnly="1" outline="0" fieldPosition="0">
        <references count="1">
          <reference field="10"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0" type="button" dataOnly="0" labelOnly="1" outline="0" axis="axisRow" fieldPosition="0"/>
    </format>
    <format dxfId="86">
      <pivotArea dataOnly="0" labelOnly="1" outline="0" fieldPosition="0">
        <references count="1">
          <reference field="10" count="0"/>
        </references>
      </pivotArea>
    </format>
    <format dxfId="85">
      <pivotArea dataOnly="0" labelOnly="1" grandRow="1" outline="0" fieldPosition="0"/>
    </format>
    <format dxfId="84">
      <pivotArea dataOnly="0" labelOnly="1" outline="0" axis="axisValues" fieldPosition="0"/>
    </format>
  </format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0" count="1" selected="0">
            <x v="4"/>
          </reference>
        </references>
      </pivotArea>
    </chartFormat>
    <chartFormat chart="9" format="2">
      <pivotArea type="data" outline="0" fieldPosition="0">
        <references count="2">
          <reference field="4294967294" count="1" selected="0">
            <x v="0"/>
          </reference>
          <reference field="10" count="1" selected="0">
            <x v="3"/>
          </reference>
        </references>
      </pivotArea>
    </chartFormat>
    <chartFormat chart="9" format="3">
      <pivotArea type="data" outline="0" fieldPosition="0">
        <references count="2">
          <reference field="4294967294" count="1" selected="0">
            <x v="0"/>
          </reference>
          <reference field="10" count="1" selected="0">
            <x v="2"/>
          </reference>
        </references>
      </pivotArea>
    </chartFormat>
    <chartFormat chart="9" format="4">
      <pivotArea type="data" outline="0" fieldPosition="0">
        <references count="2">
          <reference field="4294967294" count="1" selected="0">
            <x v="0"/>
          </reference>
          <reference field="10" count="1" selected="0">
            <x v="1"/>
          </reference>
        </references>
      </pivotArea>
    </chartFormat>
    <chartFormat chart="9" format="5">
      <pivotArea type="data" outline="0" fieldPosition="0">
        <references count="2">
          <reference field="4294967294" count="1" selected="0">
            <x v="0"/>
          </reference>
          <reference field="10" count="1" selected="0">
            <x v="0"/>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10" count="1" selected="0">
            <x v="0"/>
          </reference>
        </references>
      </pivotArea>
    </chartFormat>
    <chartFormat chart="26" format="14">
      <pivotArea type="data" outline="0" fieldPosition="0">
        <references count="2">
          <reference field="4294967294" count="1" selected="0">
            <x v="0"/>
          </reference>
          <reference field="10" count="1" selected="0">
            <x v="1"/>
          </reference>
        </references>
      </pivotArea>
    </chartFormat>
    <chartFormat chart="26" format="15">
      <pivotArea type="data" outline="0" fieldPosition="0">
        <references count="2">
          <reference field="4294967294" count="1" selected="0">
            <x v="0"/>
          </reference>
          <reference field="10" count="1" selected="0">
            <x v="2"/>
          </reference>
        </references>
      </pivotArea>
    </chartFormat>
    <chartFormat chart="26" format="16">
      <pivotArea type="data" outline="0" fieldPosition="0">
        <references count="2">
          <reference field="4294967294" count="1" selected="0">
            <x v="0"/>
          </reference>
          <reference field="10" count="1" selected="0">
            <x v="3"/>
          </reference>
        </references>
      </pivotArea>
    </chartFormat>
    <chartFormat chart="26"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1773A-5707-47E9-A2C0-73F0C6359B7A}" name="customerwise revenue"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2">
  <location ref="A80:B131" firstHeaderRow="1" firstDataRow="1" firstDataCol="1"/>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axis="axisRow" compact="0" outline="0" showAll="0"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items count="5">
        <item x="0"/>
        <item x="1"/>
        <item x="3"/>
        <item x="2"/>
        <item t="default"/>
      </items>
    </pivotField>
    <pivotField compact="0" outline="0" showAll="0">
      <items count="6">
        <item x="0"/>
        <item x="4"/>
        <item x="2"/>
        <item x="1"/>
        <item x="3"/>
        <item t="default"/>
      </items>
    </pivotField>
    <pivotField compact="0" outline="0" showAll="0"/>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3"/>
  </rowFields>
  <rowItems count="51">
    <i>
      <x v="32"/>
    </i>
    <i>
      <x v="11"/>
    </i>
    <i>
      <x v="1"/>
    </i>
    <i>
      <x v="36"/>
    </i>
    <i>
      <x v="37"/>
    </i>
    <i>
      <x v="9"/>
    </i>
    <i>
      <x v="24"/>
    </i>
    <i>
      <x v="6"/>
    </i>
    <i>
      <x v="27"/>
    </i>
    <i>
      <x v="22"/>
    </i>
    <i>
      <x v="18"/>
    </i>
    <i>
      <x v="16"/>
    </i>
    <i>
      <x v="43"/>
    </i>
    <i>
      <x v="33"/>
    </i>
    <i>
      <x v="38"/>
    </i>
    <i>
      <x v="2"/>
    </i>
    <i>
      <x v="45"/>
    </i>
    <i>
      <x v="17"/>
    </i>
    <i>
      <x v="44"/>
    </i>
    <i>
      <x v="4"/>
    </i>
    <i>
      <x v="10"/>
    </i>
    <i>
      <x v="48"/>
    </i>
    <i>
      <x v="49"/>
    </i>
    <i>
      <x v="20"/>
    </i>
    <i>
      <x v="25"/>
    </i>
    <i>
      <x v="34"/>
    </i>
    <i>
      <x v="35"/>
    </i>
    <i>
      <x v="15"/>
    </i>
    <i>
      <x v="5"/>
    </i>
    <i>
      <x v="39"/>
    </i>
    <i>
      <x v="12"/>
    </i>
    <i>
      <x v="41"/>
    </i>
    <i>
      <x v="26"/>
    </i>
    <i>
      <x v="46"/>
    </i>
    <i>
      <x v="30"/>
    </i>
    <i>
      <x v="29"/>
    </i>
    <i>
      <x v="47"/>
    </i>
    <i>
      <x v="31"/>
    </i>
    <i>
      <x v="7"/>
    </i>
    <i>
      <x v="42"/>
    </i>
    <i>
      <x/>
    </i>
    <i>
      <x v="14"/>
    </i>
    <i>
      <x v="28"/>
    </i>
    <i>
      <x v="13"/>
    </i>
    <i>
      <x v="3"/>
    </i>
    <i>
      <x v="40"/>
    </i>
    <i>
      <x v="21"/>
    </i>
    <i>
      <x v="8"/>
    </i>
    <i>
      <x v="23"/>
    </i>
    <i>
      <x v="19"/>
    </i>
    <i t="grand">
      <x/>
    </i>
  </rowItems>
  <colItems count="1">
    <i/>
  </colItems>
  <dataFields count="1">
    <dataField name="Sum of Total_Amount" fld="13" baseField="0" baseItem="0"/>
  </dataFields>
  <formats count="10">
    <format dxfId="105">
      <pivotArea type="all" dataOnly="0" outline="0" fieldPosition="0"/>
    </format>
    <format dxfId="104">
      <pivotArea outline="0" collapsedLevelsAreSubtotals="1" fieldPosition="0"/>
    </format>
    <format dxfId="103">
      <pivotArea field="10" type="button" dataOnly="0" labelOnly="1" outline="0"/>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0" type="button" dataOnly="0" labelOnly="1" outline="0"/>
    </format>
    <format dxfId="97">
      <pivotArea dataOnly="0" labelOnly="1" grandRow="1" outline="0" fieldPosition="0"/>
    </format>
    <format dxfId="96">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EAAD16-C124-49F7-9AAF-9401DDCEC5EC}" name="product namewise revenue"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43:B54" firstHeaderRow="1" firstDataRow="1" firstDataCol="1"/>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pivotField compact="0" outline="0" showAll="0"/>
    <pivotField axis="axisRow" compact="0" outline="0"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compact="0" outline="0" showAll="0">
      <items count="4">
        <item x="1"/>
        <item x="0"/>
        <item x="2"/>
        <item t="default"/>
      </items>
    </pivotField>
    <pivotField compact="0" outline="0" showAll="0"/>
    <pivotField compact="0" outline="0" showAll="0"/>
    <pivotField compact="0" outline="0" showAll="0">
      <items count="5">
        <item x="0"/>
        <item x="1"/>
        <item x="3"/>
        <item x="2"/>
        <item t="default"/>
      </items>
    </pivotField>
    <pivotField compact="0" outline="0" showAll="0">
      <items count="6">
        <item x="0"/>
        <item x="4"/>
        <item x="2"/>
        <item x="1"/>
        <item x="3"/>
        <item t="default"/>
      </items>
    </pivotField>
    <pivotField compact="0" outline="0" showAll="0"/>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11">
    <i>
      <x v="6"/>
    </i>
    <i>
      <x v="9"/>
    </i>
    <i>
      <x v="3"/>
    </i>
    <i>
      <x v="7"/>
    </i>
    <i>
      <x v="1"/>
    </i>
    <i>
      <x v="8"/>
    </i>
    <i>
      <x v="5"/>
    </i>
    <i>
      <x v="4"/>
    </i>
    <i>
      <x/>
    </i>
    <i>
      <x v="2"/>
    </i>
    <i t="grand">
      <x/>
    </i>
  </rowItems>
  <colItems count="1">
    <i/>
  </colItems>
  <dataFields count="1">
    <dataField name="Sum of Total_Amount" fld="13" baseField="0" baseItem="0"/>
  </dataFields>
  <formats count="10">
    <format dxfId="115">
      <pivotArea type="all" dataOnly="0" outline="0" fieldPosition="0"/>
    </format>
    <format dxfId="114">
      <pivotArea outline="0" collapsedLevelsAreSubtotals="1" fieldPosition="0"/>
    </format>
    <format dxfId="113">
      <pivotArea field="10" type="button" dataOnly="0" labelOnly="1" outline="0"/>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10" type="button" dataOnly="0" labelOnly="1" outline="0"/>
    </format>
    <format dxfId="107">
      <pivotArea dataOnly="0" labelOnly="1" grandRow="1" outline="0" fieldPosition="0"/>
    </format>
    <format dxfId="106">
      <pivotArea dataOnly="0" labelOnly="1" outline="0" axis="axisValues" fieldPosition="0"/>
    </format>
  </format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5"/>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1" format="7">
      <pivotArea type="data" outline="0" fieldPosition="0">
        <references count="2">
          <reference field="4294967294" count="1" selected="0">
            <x v="0"/>
          </reference>
          <reference field="5" count="1" selected="0">
            <x v="6"/>
          </reference>
        </references>
      </pivotArea>
    </chartFormat>
    <chartFormat chart="1" format="8">
      <pivotArea type="data" outline="0" fieldPosition="0">
        <references count="2">
          <reference field="4294967294" count="1" selected="0">
            <x v="0"/>
          </reference>
          <reference field="5" count="1" selected="0">
            <x v="7"/>
          </reference>
        </references>
      </pivotArea>
    </chartFormat>
    <chartFormat chart="1" format="9">
      <pivotArea type="data" outline="0" fieldPosition="0">
        <references count="2">
          <reference field="4294967294" count="1" selected="0">
            <x v="0"/>
          </reference>
          <reference field="5" count="1" selected="0">
            <x v="8"/>
          </reference>
        </references>
      </pivotArea>
    </chartFormat>
    <chartFormat chart="1" format="10">
      <pivotArea type="data" outline="0" fieldPosition="0">
        <references count="2">
          <reference field="4294967294" count="1" selected="0">
            <x v="0"/>
          </reference>
          <reference field="5" count="1" selected="0">
            <x v="9"/>
          </reference>
        </references>
      </pivotArea>
    </chartFormat>
    <chartFormat chart="7" format="44" series="1">
      <pivotArea type="data" outline="0" fieldPosition="0">
        <references count="1">
          <reference field="4294967294" count="1" selected="0">
            <x v="0"/>
          </reference>
        </references>
      </pivotArea>
    </chartFormat>
    <chartFormat chart="7" format="45">
      <pivotArea type="data" outline="0" fieldPosition="0">
        <references count="2">
          <reference field="4294967294" count="1" selected="0">
            <x v="0"/>
          </reference>
          <reference field="5" count="1" selected="0">
            <x v="0"/>
          </reference>
        </references>
      </pivotArea>
    </chartFormat>
    <chartFormat chart="7" format="46">
      <pivotArea type="data" outline="0" fieldPosition="0">
        <references count="2">
          <reference field="4294967294" count="1" selected="0">
            <x v="0"/>
          </reference>
          <reference field="5" count="1" selected="0">
            <x v="1"/>
          </reference>
        </references>
      </pivotArea>
    </chartFormat>
    <chartFormat chart="7" format="47">
      <pivotArea type="data" outline="0" fieldPosition="0">
        <references count="2">
          <reference field="4294967294" count="1" selected="0">
            <x v="0"/>
          </reference>
          <reference field="5" count="1" selected="0">
            <x v="2"/>
          </reference>
        </references>
      </pivotArea>
    </chartFormat>
    <chartFormat chart="7" format="48">
      <pivotArea type="data" outline="0" fieldPosition="0">
        <references count="2">
          <reference field="4294967294" count="1" selected="0">
            <x v="0"/>
          </reference>
          <reference field="5" count="1" selected="0">
            <x v="3"/>
          </reference>
        </references>
      </pivotArea>
    </chartFormat>
    <chartFormat chart="7" format="49">
      <pivotArea type="data" outline="0" fieldPosition="0">
        <references count="2">
          <reference field="4294967294" count="1" selected="0">
            <x v="0"/>
          </reference>
          <reference field="5" count="1" selected="0">
            <x v="4"/>
          </reference>
        </references>
      </pivotArea>
    </chartFormat>
    <chartFormat chart="7" format="50">
      <pivotArea type="data" outline="0" fieldPosition="0">
        <references count="2">
          <reference field="4294967294" count="1" selected="0">
            <x v="0"/>
          </reference>
          <reference field="5" count="1" selected="0">
            <x v="5"/>
          </reference>
        </references>
      </pivotArea>
    </chartFormat>
    <chartFormat chart="7" format="51">
      <pivotArea type="data" outline="0" fieldPosition="0">
        <references count="2">
          <reference field="4294967294" count="1" selected="0">
            <x v="0"/>
          </reference>
          <reference field="5" count="1" selected="0">
            <x v="6"/>
          </reference>
        </references>
      </pivotArea>
    </chartFormat>
    <chartFormat chart="7" format="52">
      <pivotArea type="data" outline="0" fieldPosition="0">
        <references count="2">
          <reference field="4294967294" count="1" selected="0">
            <x v="0"/>
          </reference>
          <reference field="5" count="1" selected="0">
            <x v="7"/>
          </reference>
        </references>
      </pivotArea>
    </chartFormat>
    <chartFormat chart="7" format="53">
      <pivotArea type="data" outline="0" fieldPosition="0">
        <references count="2">
          <reference field="4294967294" count="1" selected="0">
            <x v="0"/>
          </reference>
          <reference field="5" count="1" selected="0">
            <x v="8"/>
          </reference>
        </references>
      </pivotArea>
    </chartFormat>
    <chartFormat chart="7" format="54">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5E7AFA-175F-473D-8EAB-E2CF20CD1E3B}" name="category wise revenue"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29:B33" firstHeaderRow="1" firstDataRow="1" firstDataCol="1"/>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pivotField compact="0" outline="0" showAll="0"/>
    <pivotField compact="0" outline="0" showAll="0"/>
    <pivotField axis="axisRow" compact="0" outline="0" showAll="0" sortType="descending">
      <items count="4">
        <item x="1"/>
        <item x="0"/>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0"/>
        <item x="1"/>
        <item x="3"/>
        <item x="2"/>
        <item t="default"/>
      </items>
    </pivotField>
    <pivotField compact="0" outline="0" showAll="0">
      <items count="6">
        <item x="0"/>
        <item x="4"/>
        <item x="2"/>
        <item x="1"/>
        <item x="3"/>
        <item t="default"/>
      </items>
    </pivotField>
    <pivotField compact="0" outline="0" showAll="0"/>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6"/>
  </rowFields>
  <rowItems count="4">
    <i>
      <x v="1"/>
    </i>
    <i>
      <x v="2"/>
    </i>
    <i>
      <x/>
    </i>
    <i t="grand">
      <x/>
    </i>
  </rowItems>
  <colItems count="1">
    <i/>
  </colItems>
  <dataFields count="1">
    <dataField name="Sum of Total_Amount" fld="13" baseField="0" baseItem="0"/>
  </dataFields>
  <formats count="10">
    <format dxfId="125">
      <pivotArea type="all" dataOnly="0" outline="0" fieldPosition="0"/>
    </format>
    <format dxfId="124">
      <pivotArea outline="0" collapsedLevelsAreSubtotals="1" fieldPosition="0"/>
    </format>
    <format dxfId="123">
      <pivotArea field="10" type="button" dataOnly="0" labelOnly="1" outline="0"/>
    </format>
    <format dxfId="122">
      <pivotArea dataOnly="0" labelOnly="1" grandRow="1" outline="0"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10" type="button" dataOnly="0" labelOnly="1" outline="0"/>
    </format>
    <format dxfId="117">
      <pivotArea dataOnly="0" labelOnly="1" grandRow="1" outline="0" fieldPosition="0"/>
    </format>
    <format dxfId="11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441C30-97C6-41EC-BD0D-D0700D3818BC}" name="datewise revenue"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3">
  <location ref="A61:C77" firstHeaderRow="1" firstDataRow="1" firstDataCol="2"/>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items count="5">
        <item x="0"/>
        <item x="1"/>
        <item x="3"/>
        <item x="2"/>
        <item t="default"/>
      </items>
    </pivotField>
    <pivotField compact="0" outline="0" showAll="0">
      <items count="6">
        <item x="0"/>
        <item x="4"/>
        <item x="2"/>
        <item x="1"/>
        <item x="3"/>
        <item t="default"/>
      </items>
    </pivotField>
    <pivotField compact="0" outline="0" showAll="0"/>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axis="axisRow" compact="0" outline="0" showAll="0">
      <items count="15">
        <item sd="0" x="0"/>
        <item sd="0" x="1"/>
        <item sd="0" x="2"/>
        <item sd="0" x="3"/>
        <item sd="0" x="4"/>
        <item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2">
    <field x="16"/>
    <field x="14"/>
  </rowFields>
  <rowItems count="16">
    <i>
      <x v="1"/>
      <x v="4"/>
    </i>
    <i r="1">
      <x v="5"/>
    </i>
    <i r="1">
      <x v="6"/>
    </i>
    <i r="1">
      <x v="7"/>
    </i>
    <i r="1">
      <x v="8"/>
    </i>
    <i r="1">
      <x v="9"/>
    </i>
    <i r="1">
      <x v="10"/>
    </i>
    <i r="1">
      <x v="11"/>
    </i>
    <i r="1">
      <x v="12"/>
    </i>
    <i t="default">
      <x v="1"/>
    </i>
    <i>
      <x v="2"/>
      <x v="1"/>
    </i>
    <i r="1">
      <x v="2"/>
    </i>
    <i r="1">
      <x v="3"/>
    </i>
    <i r="1">
      <x v="4"/>
    </i>
    <i t="default">
      <x v="2"/>
    </i>
    <i t="grand">
      <x/>
    </i>
  </rowItems>
  <colItems count="1">
    <i/>
  </colItems>
  <dataFields count="1">
    <dataField name="Sum of Total_Amount" fld="13" baseField="0" baseItem="0"/>
  </dataFields>
  <formats count="10">
    <format dxfId="135">
      <pivotArea type="all" dataOnly="0" outline="0" fieldPosition="0"/>
    </format>
    <format dxfId="134">
      <pivotArea outline="0" collapsedLevelsAreSubtotals="1" fieldPosition="0"/>
    </format>
    <format dxfId="133">
      <pivotArea field="10" type="button" dataOnly="0" labelOnly="1" outline="0"/>
    </format>
    <format dxfId="132">
      <pivotArea dataOnly="0" labelOnly="1" grandRow="1" outline="0"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10" type="button" dataOnly="0" labelOnly="1" outline="0"/>
    </format>
    <format dxfId="127">
      <pivotArea dataOnly="0" labelOnly="1" grandRow="1" outline="0" fieldPosition="0"/>
    </format>
    <format dxfId="126">
      <pivotArea dataOnly="0" labelOnly="1" outline="0" axis="axisValues" fieldPosition="0"/>
    </format>
  </formats>
  <chartFormats count="10">
    <chartFormat chart="43" format="0" series="1">
      <pivotArea type="data" outline="0" fieldPosition="0">
        <references count="1">
          <reference field="4294967294" count="1" selected="0">
            <x v="0"/>
          </reference>
        </references>
      </pivotArea>
    </chartFormat>
    <chartFormat chart="43" format="1">
      <pivotArea type="data" outline="0" fieldPosition="0">
        <references count="3">
          <reference field="4294967294" count="1" selected="0">
            <x v="0"/>
          </reference>
          <reference field="14" count="1" selected="0">
            <x v="4"/>
          </reference>
          <reference field="16" count="1" selected="0">
            <x v="2"/>
          </reference>
        </references>
      </pivotArea>
    </chartFormat>
    <chartFormat chart="43" format="2">
      <pivotArea type="data" outline="0" fieldPosition="0">
        <references count="3">
          <reference field="4294967294" count="1" selected="0">
            <x v="0"/>
          </reference>
          <reference field="14" count="1" selected="0">
            <x v="11"/>
          </reference>
          <reference field="16" count="1" selected="0">
            <x v="1"/>
          </reference>
        </references>
      </pivotArea>
    </chartFormat>
    <chartFormat chart="43" format="3">
      <pivotArea type="data" outline="0" fieldPosition="0">
        <references count="3">
          <reference field="4294967294" count="1" selected="0">
            <x v="0"/>
          </reference>
          <reference field="14" count="1" selected="0">
            <x v="9"/>
          </reference>
          <reference field="16" count="1" selected="0">
            <x v="1"/>
          </reference>
        </references>
      </pivotArea>
    </chartFormat>
    <chartFormat chart="43" format="4">
      <pivotArea type="data" outline="0" fieldPosition="0">
        <references count="3">
          <reference field="4294967294" count="1" selected="0">
            <x v="0"/>
          </reference>
          <reference field="14" count="1" selected="0">
            <x v="2"/>
          </reference>
          <reference field="16" count="1" selected="0">
            <x v="2"/>
          </reference>
        </references>
      </pivotArea>
    </chartFormat>
    <chartFormat chart="52" format="20" series="1">
      <pivotArea type="data" outline="0" fieldPosition="0">
        <references count="1">
          <reference field="4294967294" count="1" selected="0">
            <x v="0"/>
          </reference>
        </references>
      </pivotArea>
    </chartFormat>
    <chartFormat chart="52" format="21">
      <pivotArea type="data" outline="0" fieldPosition="0">
        <references count="3">
          <reference field="4294967294" count="1" selected="0">
            <x v="0"/>
          </reference>
          <reference field="14" count="1" selected="0">
            <x v="9"/>
          </reference>
          <reference field="16" count="1" selected="0">
            <x v="1"/>
          </reference>
        </references>
      </pivotArea>
    </chartFormat>
    <chartFormat chart="52" format="22">
      <pivotArea type="data" outline="0" fieldPosition="0">
        <references count="3">
          <reference field="4294967294" count="1" selected="0">
            <x v="0"/>
          </reference>
          <reference field="14" count="1" selected="0">
            <x v="11"/>
          </reference>
          <reference field="16" count="1" selected="0">
            <x v="1"/>
          </reference>
        </references>
      </pivotArea>
    </chartFormat>
    <chartFormat chart="52" format="23">
      <pivotArea type="data" outline="0" fieldPosition="0">
        <references count="3">
          <reference field="4294967294" count="1" selected="0">
            <x v="0"/>
          </reference>
          <reference field="14" count="1" selected="0">
            <x v="2"/>
          </reference>
          <reference field="16" count="1" selected="0">
            <x v="2"/>
          </reference>
        </references>
      </pivotArea>
    </chartFormat>
    <chartFormat chart="52" format="24">
      <pivotArea type="data" outline="0" fieldPosition="0">
        <references count="3">
          <reference field="4294967294" count="1" selected="0">
            <x v="0"/>
          </reference>
          <reference field="14" count="1" selected="0">
            <x v="4"/>
          </reference>
          <reference field="16" count="1" selected="0">
            <x v="2"/>
          </reference>
        </references>
      </pivotArea>
    </chartFormat>
  </chartFormats>
  <pivotTableStyleInfo name="PivotStyleLight16" showRowHeaders="1" showColHeaders="1" showRowStripes="0" showColStripes="0" showLastColumn="1"/>
  <filters count="1">
    <filter fld="12" type="dateBetween" evalOrder="-1" id="4" name="Customer_Since">
      <autoFilter ref="A1">
        <filterColumn colId="0">
          <customFilters and="1">
            <customFilter operator="greaterThanOrEqual" val="44652"/>
            <customFilter operator="lessThanOrEqual" val="448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536CCB-2F08-4379-B8C5-F6975E604306}"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3">
  <location ref="A36:C61" firstHeaderRow="1" firstDataRow="1" firstDataCol="2"/>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axis="axisRow" compact="0" outline="0"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compact="0" outline="0" showAll="0">
      <items count="6">
        <item x="0"/>
        <item x="4"/>
        <item x="2"/>
        <item x="1"/>
        <item x="3"/>
        <item t="default"/>
      </items>
    </pivotField>
    <pivotField compact="0" outline="0" showAll="0">
      <items count="4">
        <item x="0"/>
        <item x="1"/>
        <item x="2"/>
        <item t="default"/>
      </items>
    </pivotField>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2">
    <field x="9"/>
    <field x="3"/>
  </rowFields>
  <rowItems count="25">
    <i>
      <x v="1"/>
      <x v="37"/>
    </i>
    <i r="1">
      <x v="32"/>
    </i>
    <i r="1">
      <x v="36"/>
    </i>
    <i r="1">
      <x v="43"/>
    </i>
    <i r="1">
      <x v="9"/>
    </i>
    <i t="default">
      <x v="1"/>
    </i>
    <i>
      <x/>
      <x v="1"/>
    </i>
    <i r="1">
      <x v="4"/>
    </i>
    <i r="1">
      <x v="2"/>
    </i>
    <i r="1">
      <x v="33"/>
    </i>
    <i r="1">
      <x v="36"/>
    </i>
    <i t="default">
      <x/>
    </i>
    <i>
      <x v="2"/>
      <x v="27"/>
    </i>
    <i r="1">
      <x v="16"/>
    </i>
    <i r="1">
      <x v="32"/>
    </i>
    <i r="1">
      <x v="6"/>
    </i>
    <i r="1">
      <x v="22"/>
    </i>
    <i t="default">
      <x v="2"/>
    </i>
    <i>
      <x v="3"/>
      <x v="11"/>
    </i>
    <i r="1">
      <x v="17"/>
    </i>
    <i r="1">
      <x v="49"/>
    </i>
    <i r="1">
      <x v="20"/>
    </i>
    <i r="1">
      <x v="44"/>
    </i>
    <i t="default">
      <x v="3"/>
    </i>
    <i t="grand">
      <x/>
    </i>
  </rowItems>
  <colItems count="1">
    <i/>
  </colItems>
  <dataFields count="1">
    <dataField name="Sum of Total_Amount" fld="13" baseField="0" baseItem="0"/>
  </dataFields>
  <formats count="10">
    <format dxfId="43">
      <pivotArea type="all" dataOnly="0" outline="0" fieldPosition="0"/>
    </format>
    <format dxfId="42">
      <pivotArea outline="0" collapsedLevelsAreSubtotals="1" fieldPosition="0"/>
    </format>
    <format dxfId="41">
      <pivotArea field="10" type="button" dataOnly="0" labelOnly="1" outline="0"/>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10" type="button" dataOnly="0" labelOnly="1" outline="0"/>
    </format>
    <format dxfId="35">
      <pivotArea dataOnly="0" labelOnly="1" grandRow="1" outline="0" fieldPosition="0"/>
    </format>
    <format dxfId="34">
      <pivotArea dataOnly="0" labelOnly="1" outline="0" axis="axisValues" fieldPosition="0"/>
    </format>
  </formats>
  <chartFormats count="5">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3">
          <reference field="4294967294" count="1" selected="0">
            <x v="0"/>
          </reference>
          <reference field="3" count="1" selected="0">
            <x v="49"/>
          </reference>
          <reference field="9" count="1" selected="0">
            <x v="3"/>
          </reference>
        </references>
      </pivotArea>
    </chartFormat>
    <chartFormat chart="34"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9FDADE-1FB1-4046-B888-FE3FED21F2E1}"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8">
  <location ref="A99:B150" firstHeaderRow="1" firstDataRow="1" firstDataCol="1"/>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axis="axisRow" compact="0" outline="0" showAll="0"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4"/>
        <item x="2"/>
        <item x="1"/>
        <item x="3"/>
        <item t="default"/>
      </items>
    </pivotField>
    <pivotField compact="0" outline="0" showAll="0"/>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3"/>
  </rowFields>
  <rowItems count="51">
    <i>
      <x v="32"/>
    </i>
    <i>
      <x v="11"/>
    </i>
    <i>
      <x v="1"/>
    </i>
    <i>
      <x v="36"/>
    </i>
    <i>
      <x v="37"/>
    </i>
    <i>
      <x v="9"/>
    </i>
    <i>
      <x v="24"/>
    </i>
    <i>
      <x v="6"/>
    </i>
    <i>
      <x v="27"/>
    </i>
    <i>
      <x v="22"/>
    </i>
    <i>
      <x v="18"/>
    </i>
    <i>
      <x v="16"/>
    </i>
    <i>
      <x v="43"/>
    </i>
    <i>
      <x v="33"/>
    </i>
    <i>
      <x v="38"/>
    </i>
    <i>
      <x v="2"/>
    </i>
    <i>
      <x v="45"/>
    </i>
    <i>
      <x v="17"/>
    </i>
    <i>
      <x v="44"/>
    </i>
    <i>
      <x v="4"/>
    </i>
    <i>
      <x v="10"/>
    </i>
    <i>
      <x v="48"/>
    </i>
    <i>
      <x v="49"/>
    </i>
    <i>
      <x v="20"/>
    </i>
    <i>
      <x v="25"/>
    </i>
    <i>
      <x v="34"/>
    </i>
    <i>
      <x v="35"/>
    </i>
    <i>
      <x v="15"/>
    </i>
    <i>
      <x v="5"/>
    </i>
    <i>
      <x v="39"/>
    </i>
    <i>
      <x v="12"/>
    </i>
    <i>
      <x v="41"/>
    </i>
    <i>
      <x v="26"/>
    </i>
    <i>
      <x v="46"/>
    </i>
    <i>
      <x v="30"/>
    </i>
    <i>
      <x v="29"/>
    </i>
    <i>
      <x v="47"/>
    </i>
    <i>
      <x v="31"/>
    </i>
    <i>
      <x v="7"/>
    </i>
    <i>
      <x v="42"/>
    </i>
    <i>
      <x/>
    </i>
    <i>
      <x v="14"/>
    </i>
    <i>
      <x v="28"/>
    </i>
    <i>
      <x v="13"/>
    </i>
    <i>
      <x v="3"/>
    </i>
    <i>
      <x v="40"/>
    </i>
    <i>
      <x v="21"/>
    </i>
    <i>
      <x v="8"/>
    </i>
    <i>
      <x v="23"/>
    </i>
    <i>
      <x v="19"/>
    </i>
    <i t="grand">
      <x/>
    </i>
  </rowItems>
  <colItems count="1">
    <i/>
  </colItems>
  <dataFields count="1">
    <dataField name="Sum of Total_Amount" fld="13" baseField="0" baseItem="0"/>
  </dataFields>
  <formats count="10">
    <format dxfId="53">
      <pivotArea type="all" dataOnly="0" outline="0" fieldPosition="0"/>
    </format>
    <format dxfId="52">
      <pivotArea outline="0" collapsedLevelsAreSubtotals="1" fieldPosition="0"/>
    </format>
    <format dxfId="51">
      <pivotArea field="10" type="button" dataOnly="0" labelOnly="1" outline="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10" type="button" dataOnly="0" labelOnly="1" outline="0"/>
    </format>
    <format dxfId="45">
      <pivotArea dataOnly="0" labelOnly="1" grandRow="1" outline="0" fieldPosition="0"/>
    </format>
    <format dxfId="44">
      <pivotArea dataOnly="0" labelOnly="1" outline="0" axis="axisValues" fieldPosition="0"/>
    </format>
  </formats>
  <chartFormats count="16">
    <chartFormat chart="9"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3" count="1" selected="0">
            <x v="22"/>
          </reference>
        </references>
      </pivotArea>
    </chartFormat>
    <chartFormat chart="28" format="2">
      <pivotArea type="data" outline="0" fieldPosition="0">
        <references count="2">
          <reference field="4294967294" count="1" selected="0">
            <x v="0"/>
          </reference>
          <reference field="3" count="1" selected="0">
            <x v="27"/>
          </reference>
        </references>
      </pivotArea>
    </chartFormat>
    <chartFormat chart="28" format="3">
      <pivotArea type="data" outline="0" fieldPosition="0">
        <references count="2">
          <reference field="4294967294" count="1" selected="0">
            <x v="0"/>
          </reference>
          <reference field="3" count="1" selected="0">
            <x v="6"/>
          </reference>
        </references>
      </pivotArea>
    </chartFormat>
    <chartFormat chart="28" format="4">
      <pivotArea type="data" outline="0" fieldPosition="0">
        <references count="2">
          <reference field="4294967294" count="1" selected="0">
            <x v="0"/>
          </reference>
          <reference field="3" count="1" selected="0">
            <x v="24"/>
          </reference>
        </references>
      </pivotArea>
    </chartFormat>
    <chartFormat chart="28" format="5">
      <pivotArea type="data" outline="0" fieldPosition="0">
        <references count="2">
          <reference field="4294967294" count="1" selected="0">
            <x v="0"/>
          </reference>
          <reference field="3" count="1" selected="0">
            <x v="9"/>
          </reference>
        </references>
      </pivotArea>
    </chartFormat>
    <chartFormat chart="28" format="6">
      <pivotArea type="data" outline="0" fieldPosition="0">
        <references count="2">
          <reference field="4294967294" count="1" selected="0">
            <x v="0"/>
          </reference>
          <reference field="3" count="1" selected="0">
            <x v="37"/>
          </reference>
        </references>
      </pivotArea>
    </chartFormat>
    <chartFormat chart="28" format="7">
      <pivotArea type="data" outline="0" fieldPosition="0">
        <references count="2">
          <reference field="4294967294" count="1" selected="0">
            <x v="0"/>
          </reference>
          <reference field="3" count="1" selected="0">
            <x v="36"/>
          </reference>
        </references>
      </pivotArea>
    </chartFormat>
    <chartFormat chart="28" format="8">
      <pivotArea type="data" outline="0" fieldPosition="0">
        <references count="2">
          <reference field="4294967294" count="1" selected="0">
            <x v="0"/>
          </reference>
          <reference field="3" count="1" selected="0">
            <x v="1"/>
          </reference>
        </references>
      </pivotArea>
    </chartFormat>
    <chartFormat chart="28" format="9">
      <pivotArea type="data" outline="0" fieldPosition="0">
        <references count="2">
          <reference field="4294967294" count="1" selected="0">
            <x v="0"/>
          </reference>
          <reference field="3" count="1" selected="0">
            <x v="11"/>
          </reference>
        </references>
      </pivotArea>
    </chartFormat>
    <chartFormat chart="28" format="10">
      <pivotArea type="data" outline="0" fieldPosition="0">
        <references count="2">
          <reference field="4294967294" count="1" selected="0">
            <x v="0"/>
          </reference>
          <reference field="3" count="1" selected="0">
            <x v="32"/>
          </reference>
        </references>
      </pivotArea>
    </chartFormat>
    <chartFormat chart="31"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6D3700-9D2D-428C-856C-A7071C17BF8B}"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8">
  <location ref="A3:C33" firstHeaderRow="1" firstDataRow="1" firstDataCol="2"/>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axis="axisRow" compact="0" outline="0"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0"/>
        <item x="4"/>
        <item x="2"/>
        <item x="1"/>
        <item x="3"/>
        <item t="default"/>
      </items>
    </pivotField>
    <pivotField axis="axisRow" dataField="1"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2">
    <field x="11"/>
    <field x="3"/>
  </rowFields>
  <rowItems count="30">
    <i>
      <x v="1"/>
      <x v="24"/>
    </i>
    <i r="1">
      <x v="33"/>
    </i>
    <i r="1">
      <x v="46"/>
    </i>
    <i r="1">
      <x v="32"/>
    </i>
    <i r="1">
      <x v="2"/>
    </i>
    <i r="1">
      <x v="37"/>
    </i>
    <i r="1">
      <x v="27"/>
    </i>
    <i r="1">
      <x v="36"/>
    </i>
    <i t="default">
      <x v="1"/>
    </i>
    <i>
      <x v="2"/>
      <x v="18"/>
    </i>
    <i r="1">
      <x v="7"/>
    </i>
    <i r="1">
      <x v="32"/>
    </i>
    <i r="1">
      <x v="4"/>
    </i>
    <i r="1">
      <x v="6"/>
    </i>
    <i r="1">
      <x v="47"/>
    </i>
    <i r="1">
      <x v="45"/>
    </i>
    <i r="1">
      <x v="5"/>
    </i>
    <i r="1">
      <x v="22"/>
    </i>
    <i r="1">
      <x v="20"/>
    </i>
    <i t="default">
      <x v="2"/>
    </i>
    <i>
      <x/>
      <x v="48"/>
    </i>
    <i r="1">
      <x v="4"/>
    </i>
    <i r="1">
      <x v="38"/>
    </i>
    <i r="1">
      <x v="27"/>
    </i>
    <i r="1">
      <x v="44"/>
    </i>
    <i r="1">
      <x v="10"/>
    </i>
    <i r="1">
      <x v="32"/>
    </i>
    <i r="1">
      <x v="29"/>
    </i>
    <i t="default">
      <x/>
    </i>
    <i t="grand">
      <x/>
    </i>
  </rowItems>
  <colItems count="1">
    <i/>
  </colItems>
  <dataFields count="1">
    <dataField name="Count of Customer_Segment" fld="11" subtotal="count" baseField="0" baseItem="0"/>
  </dataFields>
  <formats count="10">
    <format dxfId="63">
      <pivotArea type="all" dataOnly="0" outline="0" fieldPosition="0"/>
    </format>
    <format dxfId="62">
      <pivotArea outline="0" collapsedLevelsAreSubtotals="1" fieldPosition="0"/>
    </format>
    <format dxfId="61">
      <pivotArea field="10" type="button" dataOnly="0" labelOnly="1" outline="0"/>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10" type="button" dataOnly="0" labelOnly="1" outline="0"/>
    </format>
    <format dxfId="55">
      <pivotArea dataOnly="0" labelOnly="1" grandRow="1" outline="0" fieldPosition="0"/>
    </format>
    <format dxfId="54">
      <pivotArea dataOnly="0" labelOnly="1" outline="0" axis="axisValues" fieldPosition="0"/>
    </format>
  </formats>
  <chartFormats count="7">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11" count="1" selected="0">
            <x v="1"/>
          </reference>
        </references>
      </pivotArea>
    </chartFormat>
    <chartFormat chart="31" format="2">
      <pivotArea type="data" outline="0" fieldPosition="0">
        <references count="2">
          <reference field="4294967294" count="1" selected="0">
            <x v="0"/>
          </reference>
          <reference field="11" count="1" selected="0">
            <x v="0"/>
          </reference>
        </references>
      </pivotArea>
    </chartFormat>
    <chartFormat chart="31" format="3">
      <pivotArea type="data" outline="0" fieldPosition="0">
        <references count="2">
          <reference field="4294967294" count="1" selected="0">
            <x v="0"/>
          </reference>
          <reference field="11" count="1" selected="0">
            <x v="2"/>
          </reference>
        </references>
      </pivotArea>
    </chartFormat>
    <chartFormat chart="32" format="0" series="1">
      <pivotArea type="data" outline="0" fieldPosition="0">
        <references count="1">
          <reference field="4294967294" count="1" selected="0">
            <x v="0"/>
          </reference>
        </references>
      </pivotArea>
    </chartFormat>
    <chartFormat chart="32" format="1">
      <pivotArea type="data" outline="0" fieldPosition="0">
        <references count="3">
          <reference field="4294967294" count="1" selected="0">
            <x v="0"/>
          </reference>
          <reference field="3" count="1" selected="0">
            <x v="29"/>
          </reference>
          <reference field="11" count="1" selected="0">
            <x v="0"/>
          </reference>
        </references>
      </pivotArea>
    </chartFormat>
    <chartFormat chart="4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307889-7DE2-48BF-8CB9-276F9C57E212}"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9">
  <location ref="A64:C96" firstHeaderRow="1" firstDataRow="1" firstDataCol="2"/>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axis="axisRow" compact="0" outline="0" showAll="0" measureFilter="1" sortType="descending">
      <items count="51">
        <item x="48"/>
        <item x="32"/>
        <item x="41"/>
        <item x="6"/>
        <item x="17"/>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5">
        <item x="0"/>
        <item x="1"/>
        <item x="3"/>
        <item x="2"/>
        <item t="default"/>
      </items>
    </pivotField>
    <pivotField axis="axisRow" compact="0" outline="0"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compact="0" outline="0" showAll="0">
      <items count="4">
        <item x="0"/>
        <item x="1"/>
        <item x="2"/>
        <item t="default"/>
      </items>
    </pivotField>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2">
    <field x="10"/>
    <field x="3"/>
  </rowFields>
  <rowItems count="32">
    <i>
      <x v="1"/>
      <x v="36"/>
    </i>
    <i r="1">
      <x v="4"/>
    </i>
    <i r="1">
      <x v="6"/>
    </i>
    <i r="1">
      <x v="11"/>
    </i>
    <i r="1">
      <x v="16"/>
    </i>
    <i r="1">
      <x v="17"/>
    </i>
    <i t="default">
      <x v="1"/>
    </i>
    <i>
      <x v="2"/>
      <x v="9"/>
    </i>
    <i r="1">
      <x v="1"/>
    </i>
    <i r="1">
      <x v="43"/>
    </i>
    <i r="1">
      <x v="32"/>
    </i>
    <i r="1">
      <x v="10"/>
    </i>
    <i t="default">
      <x v="2"/>
    </i>
    <i>
      <x v="4"/>
      <x v="32"/>
    </i>
    <i r="1">
      <x v="4"/>
    </i>
    <i r="1">
      <x v="20"/>
    </i>
    <i r="1">
      <x v="24"/>
    </i>
    <i r="1">
      <x v="15"/>
    </i>
    <i t="default">
      <x v="4"/>
    </i>
    <i>
      <x v="3"/>
      <x v="37"/>
    </i>
    <i r="1">
      <x v="22"/>
    </i>
    <i r="1">
      <x v="11"/>
    </i>
    <i r="1">
      <x v="18"/>
    </i>
    <i r="1">
      <x v="48"/>
    </i>
    <i t="default">
      <x v="3"/>
    </i>
    <i>
      <x/>
      <x v="49"/>
    </i>
    <i r="1">
      <x v="11"/>
    </i>
    <i r="1">
      <x v="39"/>
    </i>
    <i r="1">
      <x v="9"/>
    </i>
    <i r="1">
      <x v="35"/>
    </i>
    <i t="default">
      <x/>
    </i>
    <i t="grand">
      <x/>
    </i>
  </rowItems>
  <colItems count="1">
    <i/>
  </colItems>
  <dataFields count="1">
    <dataField name="Sum of Total_Amount" fld="13" baseField="0" baseItem="0"/>
  </dataFields>
  <formats count="10">
    <format dxfId="73">
      <pivotArea type="all" dataOnly="0" outline="0" fieldPosition="0"/>
    </format>
    <format dxfId="72">
      <pivotArea outline="0" collapsedLevelsAreSubtotals="1" fieldPosition="0"/>
    </format>
    <format dxfId="71">
      <pivotArea field="10" type="button" dataOnly="0" labelOnly="1" outline="0" axis="axisRow" fieldPosition="0"/>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0" type="button" dataOnly="0" labelOnly="1" outline="0" axis="axisRow" fieldPosition="0"/>
    </format>
    <format dxfId="65">
      <pivotArea dataOnly="0" labelOnly="1" grandRow="1" outline="0" fieldPosition="0"/>
    </format>
    <format dxfId="64">
      <pivotArea dataOnly="0" labelOnly="1" outline="0" axis="axisValues" fieldPosition="0"/>
    </format>
  </formats>
  <chartFormats count="2">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9E3720-4AEB-4CF8-8A9C-625935DD8FBD}"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6">
  <location ref="A3:C48" firstHeaderRow="1" firstDataRow="1" firstDataCol="2"/>
  <pivotFields count="20">
    <pivotField compact="0" outline="0" showAll="0"/>
    <pivotField compact="0" numFmtId="16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pivotField compact="0" outline="0" showAll="0"/>
    <pivotField axis="axisRow" compact="0" outline="0"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axis="axisRow" compact="0" outline="0" showAll="0">
      <items count="5">
        <item x="0"/>
        <item x="1"/>
        <item x="3"/>
        <item x="2"/>
        <item t="default"/>
      </items>
    </pivotField>
    <pivotField compact="0" outline="0" showAll="0">
      <items count="6">
        <item x="0"/>
        <item x="4"/>
        <item x="2"/>
        <item x="1"/>
        <item x="3"/>
        <item t="default"/>
      </items>
    </pivotField>
    <pivotField compact="0" outline="0" showAll="0"/>
    <pivotField compact="0" numFmtId="16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2">
    <field x="9"/>
    <field x="5"/>
  </rowFields>
  <rowItems count="45">
    <i>
      <x/>
      <x/>
    </i>
    <i r="1">
      <x v="1"/>
    </i>
    <i r="1">
      <x v="9"/>
    </i>
    <i r="1">
      <x v="3"/>
    </i>
    <i r="1">
      <x v="8"/>
    </i>
    <i r="1">
      <x v="7"/>
    </i>
    <i r="1">
      <x v="2"/>
    </i>
    <i r="1">
      <x v="5"/>
    </i>
    <i r="1">
      <x v="4"/>
    </i>
    <i r="1">
      <x v="6"/>
    </i>
    <i t="default">
      <x/>
    </i>
    <i>
      <x v="1"/>
      <x v="7"/>
    </i>
    <i r="1">
      <x v="5"/>
    </i>
    <i r="1">
      <x v="3"/>
    </i>
    <i r="1">
      <x v="1"/>
    </i>
    <i r="1">
      <x v="9"/>
    </i>
    <i r="1">
      <x v="6"/>
    </i>
    <i r="1">
      <x/>
    </i>
    <i r="1">
      <x v="2"/>
    </i>
    <i r="1">
      <x v="4"/>
    </i>
    <i r="1">
      <x v="8"/>
    </i>
    <i t="default">
      <x v="1"/>
    </i>
    <i>
      <x v="2"/>
      <x/>
    </i>
    <i r="1">
      <x v="5"/>
    </i>
    <i r="1">
      <x v="6"/>
    </i>
    <i r="1">
      <x v="1"/>
    </i>
    <i r="1">
      <x v="9"/>
    </i>
    <i r="1">
      <x v="8"/>
    </i>
    <i r="1">
      <x v="3"/>
    </i>
    <i r="1">
      <x v="7"/>
    </i>
    <i r="1">
      <x v="2"/>
    </i>
    <i r="1">
      <x v="4"/>
    </i>
    <i t="default">
      <x v="2"/>
    </i>
    <i>
      <x v="3"/>
      <x v="9"/>
    </i>
    <i r="1">
      <x v="1"/>
    </i>
    <i r="1">
      <x v="6"/>
    </i>
    <i r="1">
      <x v="5"/>
    </i>
    <i r="1">
      <x v="7"/>
    </i>
    <i r="1">
      <x v="4"/>
    </i>
    <i r="1">
      <x v="3"/>
    </i>
    <i r="1">
      <x/>
    </i>
    <i r="1">
      <x v="2"/>
    </i>
    <i r="1">
      <x v="8"/>
    </i>
    <i t="default">
      <x v="3"/>
    </i>
    <i t="grand">
      <x/>
    </i>
  </rowItems>
  <colItems count="1">
    <i/>
  </colItems>
  <dataFields count="1">
    <dataField name="Count of Quantity" fld="7" subtotal="count" baseField="5" baseItem="0"/>
  </dataFields>
  <formats count="10">
    <format dxfId="33">
      <pivotArea type="all" dataOnly="0" outline="0" fieldPosition="0"/>
    </format>
    <format dxfId="32">
      <pivotArea outline="0" collapsedLevelsAreSubtotals="1" fieldPosition="0"/>
    </format>
    <format dxfId="31">
      <pivotArea field="10" type="button" dataOnly="0" labelOnly="1" outline="0"/>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10" type="button" dataOnly="0" labelOnly="1" outline="0"/>
    </format>
    <format dxfId="25">
      <pivotArea dataOnly="0" labelOnly="1" grandRow="1" outline="0" fieldPosition="0"/>
    </format>
    <format dxfId="24">
      <pivotArea dataOnly="0" labelOnly="1" outline="0" axis="axisValues" fieldPosition="0"/>
    </format>
  </formats>
  <chartFormats count="5">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0EF5FCF-24BF-449B-AF1F-99FA6F5681B1}" sourceName="Product_Name">
  <pivotTables>
    <pivotTable tabId="5" name="product namewise revenue"/>
  </pivotTables>
  <data>
    <tabular pivotCacheId="87752477">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9AF5A9-F982-43FC-969B-E913FE9120B1}" sourceName="Region">
  <pivotTables>
    <pivotTable tabId="5" name="Regionwise total revenue"/>
  </pivotTables>
  <data>
    <tabular pivotCacheId="8775247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43C1FA4-C950-48D6-A57A-03B17E62CB15}" sourceName="Payment_Method">
  <pivotTables>
    <pivotTable tabId="5" name="payment_method wise revenue"/>
  </pivotTables>
  <data>
    <tabular pivotCacheId="87752477">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61CF9D-F685-4223-B427-18FB529B760E}" sourceName="Category">
  <pivotTables>
    <pivotTable tabId="5" name="category wise revenue"/>
  </pivotTables>
  <data>
    <tabular pivotCacheId="87752477">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048D40A7-4F4A-48A8-B917-4EAE90FBFEDA}" sourceName="Customer_Name">
  <pivotTables>
    <pivotTable tabId="6" name="PivotTable4"/>
  </pivotTables>
  <data>
    <tabular pivotCacheId="87752477">
      <items count="50">
        <i x="48" s="1"/>
        <i x="17" s="1"/>
        <i x="32" s="1"/>
        <i x="41" s="1"/>
        <i x="6" s="1"/>
        <i x="19" s="1"/>
        <i x="29" s="1"/>
        <i x="35" s="1"/>
        <i x="11" s="1"/>
        <i x="5" s="1"/>
        <i x="46" s="1"/>
        <i x="23" s="1"/>
        <i x="39" s="1"/>
        <i x="25" s="1"/>
        <i x="37" s="1"/>
        <i x="13" s="1"/>
        <i x="38" s="1"/>
        <i x="28" s="1"/>
        <i x="22" s="1"/>
        <i x="47" s="1"/>
        <i x="27" s="1"/>
        <i x="49" s="1"/>
        <i x="1" s="1"/>
        <i x="33" s="1"/>
        <i x="8" s="1"/>
        <i x="3" s="1"/>
        <i x="2" s="1"/>
        <i x="40" s="1"/>
        <i x="21" s="1"/>
        <i x="24" s="1"/>
        <i x="36" s="1"/>
        <i x="15" s="1"/>
        <i x="14" s="1"/>
        <i x="4" s="1"/>
        <i x="12" s="1"/>
        <i x="20" s="1"/>
        <i x="18" s="1"/>
        <i x="0" s="1"/>
        <i x="10" s="1"/>
        <i x="34" s="1"/>
        <i x="45" s="1"/>
        <i x="7" s="1"/>
        <i x="43" s="1"/>
        <i x="42" s="1"/>
        <i x="31" s="1"/>
        <i x="30" s="1"/>
        <i x="26" s="1"/>
        <i x="9" s="1"/>
        <i x="16"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14462C11-DA4E-4830-B54B-0AE56B088E88}" cache="Slicer_Product_Name" caption="Product_Name" columnCount="2" style="SlicerStyleLight3" rowHeight="234950"/>
  <slicer name="Region" xr10:uid="{B532FA18-C4D6-4C63-B971-114417DD41A1}" cache="Slicer_Region" caption="Region" style="SlicerStyleLight2" rowHeight="234950"/>
  <slicer name="Payment_Method" xr10:uid="{38A64457-405C-4B10-AAB4-ABD61F3CAE27}" cache="Slicer_Payment_Method" caption="Payment_Method" style="SlicerStyleLight4" rowHeight="234950"/>
  <slicer name="Category" xr10:uid="{21BC7F13-111F-4A71-94C4-3ED5511E50D6}" cache="Slicer_Category" caption="Category" style="SlicerStyleLight6" rowHeight="234950"/>
  <slicer name="Customer_Name" xr10:uid="{9417AB29-DE5E-440F-BF5A-1CBC0A3EF5CE}" cache="Slicer_Customer_Name" caption="Customer_Name" columnCount="6"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483B12-AD0A-42C2-A389-D0228906C273}" name="sales_data" displayName="sales_data" ref="A1:N251" totalsRowShown="0" headerRowDxfId="151" dataDxfId="150">
  <autoFilter ref="A1:N251" xr:uid="{68483B12-AD0A-42C2-A389-D0228906C273}"/>
  <tableColumns count="14">
    <tableColumn id="1" xr3:uid="{AA524182-9903-482B-8A01-472777916045}" name="Transaction_ID" dataDxfId="149"/>
    <tableColumn id="2" xr3:uid="{30F98F8C-3C7E-40B8-B22E-CCC0BD0E0385}" name="Date" dataDxfId="148"/>
    <tableColumn id="3" xr3:uid="{46C61F55-2375-45DA-A3F8-62301E677D5A}" name="Customer_ID" dataDxfId="147"/>
    <tableColumn id="4" xr3:uid="{2A62BD20-82A9-4693-AFC0-5B76D63FB383}" name="Customer_Name" dataDxfId="146"/>
    <tableColumn id="5" xr3:uid="{8FF5A58D-AAFD-4120-A414-1660B774C7FB}" name="Product_ID" dataDxfId="145"/>
    <tableColumn id="6" xr3:uid="{3EEC728A-E783-4C3D-8BED-CD50BB1FA85D}" name="Product_Name" dataDxfId="144"/>
    <tableColumn id="7" xr3:uid="{F1E8A800-D49C-48ED-9E1B-2C7A9746A422}" name="Category" dataDxfId="143"/>
    <tableColumn id="8" xr3:uid="{2752B716-7762-427A-A754-2DB17FD8BF52}" name="Quantity" dataDxfId="142"/>
    <tableColumn id="9" xr3:uid="{2BF13849-BD44-4FF6-860A-0EEF0A397822}" name="Unit_Price" dataDxfId="141"/>
    <tableColumn id="10" xr3:uid="{725DC89B-50A2-472F-8362-5AA32215B2B3}" name="Payment_Method" dataDxfId="140"/>
    <tableColumn id="11" xr3:uid="{73EF9C5E-6BC8-45E9-8019-AEB8AD850870}" name="Region" dataDxfId="139"/>
    <tableColumn id="12" xr3:uid="{7D2B0CC3-36C8-4D58-B4A4-CD828065A331}" name="Customer_Segment" dataDxfId="138"/>
    <tableColumn id="13" xr3:uid="{18DEC610-2370-4F20-A1C2-DB0732E26D5A}" name="Customer_Since" dataDxfId="137"/>
    <tableColumn id="14" xr3:uid="{22830FCD-9BD4-4A91-8D3D-7E3D08078663}" name="Total_Amount" dataDxfId="136"/>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B2E9B79-315E-4305-860F-377E1D78FDE9}" sourceName="Date">
  <pivotTables>
    <pivotTable tabId="5" name="datewise revenue"/>
  </pivotTables>
  <state minimalRefreshVersion="6" lastRefreshVersion="6" pivotCacheId="8775247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935F177-1D1C-40A4-91D5-9833C87F8CB7}" cache="NativeTimeline_Date" caption="Date" level="2" selectionLevel="0" scrollPosition="2024-01-01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AAA85-098E-47AB-8C4B-C5894EC80223}">
  <dimension ref="M3:P6"/>
  <sheetViews>
    <sheetView showGridLines="0" tabSelected="1" zoomScale="70" zoomScaleNormal="70" workbookViewId="0">
      <selection activeCell="J4" sqref="J4"/>
    </sheetView>
  </sheetViews>
  <sheetFormatPr defaultRowHeight="14.4" x14ac:dyDescent="0.3"/>
  <sheetData>
    <row r="3" spans="13:16" x14ac:dyDescent="0.3">
      <c r="M3" s="33"/>
      <c r="N3" s="22"/>
      <c r="O3" s="22"/>
      <c r="P3" s="22"/>
    </row>
    <row r="4" spans="13:16" x14ac:dyDescent="0.3">
      <c r="M4" s="31"/>
      <c r="N4" s="31"/>
      <c r="O4" s="31"/>
      <c r="P4" s="31"/>
    </row>
    <row r="5" spans="13:16" x14ac:dyDescent="0.3">
      <c r="M5" s="31"/>
      <c r="N5" s="31"/>
      <c r="O5" s="31"/>
      <c r="P5" s="31"/>
    </row>
    <row r="6" spans="13:16" x14ac:dyDescent="0.3">
      <c r="M6" s="31"/>
      <c r="N6" s="31"/>
      <c r="O6" s="31"/>
      <c r="P6" s="3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4" sqref="D4"/>
    </sheetView>
  </sheetViews>
  <sheetFormatPr defaultColWidth="14.44140625" defaultRowHeight="15" customHeight="1" x14ac:dyDescent="0.3"/>
  <cols>
    <col min="1" max="1" width="15.44140625" style="6" customWidth="1"/>
    <col min="2" max="2" width="10.88671875" style="6" customWidth="1"/>
    <col min="3" max="3" width="13.77734375" style="6" customWidth="1"/>
    <col min="4" max="4" width="17" style="6" customWidth="1"/>
    <col min="5" max="5" width="12.33203125" style="6" customWidth="1"/>
    <col min="6" max="6" width="15.5546875" style="6" customWidth="1"/>
    <col min="7" max="7" width="10.44140625" style="6" customWidth="1"/>
    <col min="8" max="8" width="10.21875" style="6" customWidth="1"/>
    <col min="9" max="9" width="11.5546875" style="6" customWidth="1"/>
    <col min="10" max="10" width="18.21875" style="6" customWidth="1"/>
    <col min="11" max="11" width="8.6640625" style="6" customWidth="1"/>
    <col min="12" max="12" width="19.44140625" style="6" customWidth="1"/>
    <col min="13" max="13" width="16.44140625" style="6" customWidth="1"/>
    <col min="14" max="14" width="15" style="6" customWidth="1"/>
    <col min="15" max="26" width="8.6640625" style="6" customWidth="1"/>
    <col min="27" max="16384" width="14.44140625" style="6"/>
  </cols>
  <sheetData>
    <row r="1" spans="1:26" ht="14.4" x14ac:dyDescent="0.3">
      <c r="A1" s="5" t="s">
        <v>2</v>
      </c>
      <c r="B1" s="5" t="s">
        <v>3</v>
      </c>
      <c r="C1" s="5" t="s">
        <v>4</v>
      </c>
      <c r="D1" s="5" t="s">
        <v>5</v>
      </c>
      <c r="E1" s="5" t="s">
        <v>6</v>
      </c>
      <c r="F1" s="5" t="s">
        <v>7</v>
      </c>
      <c r="G1" s="5" t="s">
        <v>8</v>
      </c>
      <c r="H1" s="5" t="s">
        <v>9</v>
      </c>
      <c r="I1" s="5" t="s">
        <v>10</v>
      </c>
      <c r="J1" s="5" t="s">
        <v>11</v>
      </c>
      <c r="K1" s="5" t="s">
        <v>12</v>
      </c>
      <c r="L1" s="5" t="s">
        <v>13</v>
      </c>
      <c r="M1" s="5" t="s">
        <v>14</v>
      </c>
      <c r="N1" s="5" t="s">
        <v>15</v>
      </c>
      <c r="O1" s="5"/>
      <c r="P1" s="5"/>
      <c r="Q1" s="5"/>
      <c r="R1" s="5"/>
      <c r="S1" s="5"/>
      <c r="T1" s="5"/>
      <c r="U1" s="5"/>
      <c r="V1" s="5"/>
      <c r="W1" s="5"/>
      <c r="X1" s="5"/>
      <c r="Y1" s="5"/>
      <c r="Z1" s="5"/>
    </row>
    <row r="2" spans="1:26" ht="14.4" x14ac:dyDescent="0.3">
      <c r="A2" s="2" t="s">
        <v>16</v>
      </c>
      <c r="B2" s="7">
        <v>45393</v>
      </c>
      <c r="C2" s="2" t="s">
        <v>17</v>
      </c>
      <c r="D2" s="2" t="s">
        <v>18</v>
      </c>
      <c r="E2" s="2" t="s">
        <v>19</v>
      </c>
      <c r="F2" s="2" t="s">
        <v>20</v>
      </c>
      <c r="G2" s="2" t="s">
        <v>21</v>
      </c>
      <c r="H2" s="2">
        <v>3</v>
      </c>
      <c r="I2" s="2">
        <v>249.99</v>
      </c>
      <c r="J2" s="2" t="s">
        <v>22</v>
      </c>
      <c r="K2" s="2" t="s">
        <v>23</v>
      </c>
      <c r="L2" s="2" t="s">
        <v>24</v>
      </c>
      <c r="M2" s="7">
        <v>44425</v>
      </c>
      <c r="N2" s="2">
        <v>749.97</v>
      </c>
    </row>
    <row r="3" spans="1:26" ht="14.4" x14ac:dyDescent="0.3">
      <c r="A3" s="2" t="s">
        <v>25</v>
      </c>
      <c r="B3" s="7">
        <v>45396</v>
      </c>
      <c r="C3" s="2" t="s">
        <v>26</v>
      </c>
      <c r="D3" s="2" t="s">
        <v>27</v>
      </c>
      <c r="E3" s="2" t="s">
        <v>19</v>
      </c>
      <c r="F3" s="2" t="s">
        <v>20</v>
      </c>
      <c r="G3" s="2" t="s">
        <v>21</v>
      </c>
      <c r="H3" s="2">
        <v>3</v>
      </c>
      <c r="I3" s="2">
        <v>249.99</v>
      </c>
      <c r="J3" s="2" t="s">
        <v>28</v>
      </c>
      <c r="K3" s="2" t="s">
        <v>23</v>
      </c>
      <c r="L3" s="2" t="s">
        <v>29</v>
      </c>
      <c r="M3" s="7">
        <v>44575</v>
      </c>
      <c r="N3" s="2">
        <v>749.97</v>
      </c>
    </row>
    <row r="4" spans="1:26" ht="14.4" x14ac:dyDescent="0.3">
      <c r="A4" s="2" t="s">
        <v>30</v>
      </c>
      <c r="B4" s="7">
        <v>45399</v>
      </c>
      <c r="C4" s="2" t="s">
        <v>31</v>
      </c>
      <c r="D4" s="2" t="s">
        <v>32</v>
      </c>
      <c r="E4" s="2" t="s">
        <v>33</v>
      </c>
      <c r="F4" s="2" t="s">
        <v>34</v>
      </c>
      <c r="G4" s="2" t="s">
        <v>35</v>
      </c>
      <c r="H4" s="2">
        <v>3</v>
      </c>
      <c r="I4" s="2">
        <v>59.99</v>
      </c>
      <c r="J4" s="2" t="s">
        <v>36</v>
      </c>
      <c r="K4" s="2" t="s">
        <v>37</v>
      </c>
      <c r="L4" s="2" t="s">
        <v>38</v>
      </c>
      <c r="M4" s="7">
        <v>45262</v>
      </c>
      <c r="N4" s="2">
        <v>179.97</v>
      </c>
    </row>
    <row r="5" spans="1:26" ht="14.4" x14ac:dyDescent="0.3">
      <c r="A5" s="2" t="s">
        <v>39</v>
      </c>
      <c r="B5" s="7">
        <v>45400</v>
      </c>
      <c r="C5" s="2" t="s">
        <v>40</v>
      </c>
      <c r="D5" s="2" t="s">
        <v>41</v>
      </c>
      <c r="E5" s="2" t="s">
        <v>33</v>
      </c>
      <c r="F5" s="2" t="s">
        <v>34</v>
      </c>
      <c r="G5" s="2" t="s">
        <v>35</v>
      </c>
      <c r="H5" s="2">
        <v>3</v>
      </c>
      <c r="I5" s="2">
        <v>59.99</v>
      </c>
      <c r="J5" s="2" t="s">
        <v>22</v>
      </c>
      <c r="K5" s="2" t="s">
        <v>42</v>
      </c>
      <c r="L5" s="2" t="s">
        <v>29</v>
      </c>
      <c r="M5" s="7">
        <v>45114</v>
      </c>
      <c r="N5" s="2">
        <v>179.97</v>
      </c>
    </row>
    <row r="6" spans="1:26" ht="14.4" x14ac:dyDescent="0.3">
      <c r="A6" s="2" t="s">
        <v>43</v>
      </c>
      <c r="B6" s="7">
        <v>45400</v>
      </c>
      <c r="C6" s="2" t="s">
        <v>44</v>
      </c>
      <c r="D6" s="2" t="s">
        <v>45</v>
      </c>
      <c r="E6" s="2" t="s">
        <v>46</v>
      </c>
      <c r="F6" s="2" t="s">
        <v>47</v>
      </c>
      <c r="G6" s="2" t="s">
        <v>48</v>
      </c>
      <c r="H6" s="2">
        <v>5</v>
      </c>
      <c r="I6" s="2">
        <v>149.99</v>
      </c>
      <c r="J6" s="2" t="s">
        <v>28</v>
      </c>
      <c r="K6" s="2" t="s">
        <v>42</v>
      </c>
      <c r="L6" s="2" t="s">
        <v>29</v>
      </c>
      <c r="M6" s="7">
        <v>45295</v>
      </c>
      <c r="N6" s="2">
        <v>749.95</v>
      </c>
    </row>
    <row r="7" spans="1:26" ht="14.4" x14ac:dyDescent="0.3">
      <c r="A7" s="2" t="s">
        <v>49</v>
      </c>
      <c r="B7" s="7">
        <v>45403</v>
      </c>
      <c r="C7" s="2" t="s">
        <v>50</v>
      </c>
      <c r="D7" s="2" t="s">
        <v>51</v>
      </c>
      <c r="E7" s="2" t="s">
        <v>33</v>
      </c>
      <c r="F7" s="2" t="s">
        <v>34</v>
      </c>
      <c r="G7" s="2" t="s">
        <v>35</v>
      </c>
      <c r="H7" s="2">
        <v>2</v>
      </c>
      <c r="I7" s="2">
        <v>59.99</v>
      </c>
      <c r="J7" s="2" t="s">
        <v>22</v>
      </c>
      <c r="K7" s="2" t="s">
        <v>52</v>
      </c>
      <c r="L7" s="2" t="s">
        <v>38</v>
      </c>
      <c r="M7" s="7">
        <v>44746</v>
      </c>
      <c r="N7" s="2">
        <v>119.98</v>
      </c>
    </row>
    <row r="8" spans="1:26" ht="14.4" x14ac:dyDescent="0.3">
      <c r="A8" s="2" t="s">
        <v>53</v>
      </c>
      <c r="B8" s="7">
        <v>45403</v>
      </c>
      <c r="C8" s="2" t="s">
        <v>50</v>
      </c>
      <c r="D8" s="2" t="s">
        <v>51</v>
      </c>
      <c r="E8" s="2" t="s">
        <v>54</v>
      </c>
      <c r="F8" s="2" t="s">
        <v>55</v>
      </c>
      <c r="G8" s="2" t="s">
        <v>21</v>
      </c>
      <c r="H8" s="2">
        <v>5</v>
      </c>
      <c r="I8" s="2">
        <v>149.99</v>
      </c>
      <c r="J8" s="2" t="s">
        <v>28</v>
      </c>
      <c r="K8" s="2" t="s">
        <v>23</v>
      </c>
      <c r="L8" s="2" t="s">
        <v>38</v>
      </c>
      <c r="M8" s="7">
        <v>44418</v>
      </c>
      <c r="N8" s="2">
        <v>749.95</v>
      </c>
    </row>
    <row r="9" spans="1:26" ht="14.4" x14ac:dyDescent="0.3">
      <c r="A9" s="2" t="s">
        <v>56</v>
      </c>
      <c r="B9" s="7">
        <v>45403</v>
      </c>
      <c r="C9" s="2" t="s">
        <v>57</v>
      </c>
      <c r="D9" s="2" t="s">
        <v>58</v>
      </c>
      <c r="E9" s="2" t="s">
        <v>33</v>
      </c>
      <c r="F9" s="2" t="s">
        <v>34</v>
      </c>
      <c r="G9" s="2" t="s">
        <v>35</v>
      </c>
      <c r="H9" s="2">
        <v>3</v>
      </c>
      <c r="I9" s="2">
        <v>59.99</v>
      </c>
      <c r="J9" s="2" t="s">
        <v>59</v>
      </c>
      <c r="K9" s="2" t="s">
        <v>37</v>
      </c>
      <c r="L9" s="2" t="s">
        <v>24</v>
      </c>
      <c r="M9" s="7">
        <v>45007</v>
      </c>
      <c r="N9" s="2">
        <v>179.97</v>
      </c>
    </row>
    <row r="10" spans="1:26" ht="14.4" x14ac:dyDescent="0.3">
      <c r="A10" s="2" t="s">
        <v>60</v>
      </c>
      <c r="B10" s="7">
        <v>45405</v>
      </c>
      <c r="C10" s="2" t="s">
        <v>61</v>
      </c>
      <c r="D10" s="2" t="s">
        <v>62</v>
      </c>
      <c r="E10" s="2" t="s">
        <v>63</v>
      </c>
      <c r="F10" s="2" t="s">
        <v>64</v>
      </c>
      <c r="G10" s="2" t="s">
        <v>21</v>
      </c>
      <c r="H10" s="2">
        <v>3</v>
      </c>
      <c r="I10" s="2">
        <v>899.99</v>
      </c>
      <c r="J10" s="2" t="s">
        <v>36</v>
      </c>
      <c r="K10" s="2" t="s">
        <v>65</v>
      </c>
      <c r="L10" s="2" t="s">
        <v>38</v>
      </c>
      <c r="M10" s="7">
        <v>45299</v>
      </c>
      <c r="N10" s="2">
        <v>2699.97</v>
      </c>
    </row>
    <row r="11" spans="1:26" ht="14.4" x14ac:dyDescent="0.3">
      <c r="A11" s="2" t="s">
        <v>66</v>
      </c>
      <c r="B11" s="7">
        <v>45408</v>
      </c>
      <c r="C11" s="2" t="s">
        <v>67</v>
      </c>
      <c r="D11" s="2" t="s">
        <v>68</v>
      </c>
      <c r="E11" s="2" t="s">
        <v>33</v>
      </c>
      <c r="F11" s="2" t="s">
        <v>34</v>
      </c>
      <c r="G11" s="2" t="s">
        <v>35</v>
      </c>
      <c r="H11" s="2">
        <v>3</v>
      </c>
      <c r="I11" s="2">
        <v>59.99</v>
      </c>
      <c r="J11" s="2" t="s">
        <v>22</v>
      </c>
      <c r="K11" s="2" t="s">
        <v>52</v>
      </c>
      <c r="L11" s="2" t="s">
        <v>29</v>
      </c>
      <c r="M11" s="7">
        <v>45207</v>
      </c>
      <c r="N11" s="2">
        <v>179.97</v>
      </c>
    </row>
    <row r="12" spans="1:26" ht="14.4" x14ac:dyDescent="0.3">
      <c r="A12" s="2" t="s">
        <v>69</v>
      </c>
      <c r="B12" s="7">
        <v>45408</v>
      </c>
      <c r="C12" s="2" t="s">
        <v>70</v>
      </c>
      <c r="D12" s="2" t="s">
        <v>71</v>
      </c>
      <c r="E12" s="2" t="s">
        <v>46</v>
      </c>
      <c r="F12" s="2" t="s">
        <v>47</v>
      </c>
      <c r="G12" s="2" t="s">
        <v>48</v>
      </c>
      <c r="H12" s="2">
        <v>1</v>
      </c>
      <c r="I12" s="2">
        <v>149.99</v>
      </c>
      <c r="J12" s="2" t="s">
        <v>28</v>
      </c>
      <c r="K12" s="2" t="s">
        <v>52</v>
      </c>
      <c r="L12" s="2" t="s">
        <v>38</v>
      </c>
      <c r="M12" s="7">
        <v>45103</v>
      </c>
      <c r="N12" s="2">
        <v>149.99</v>
      </c>
    </row>
    <row r="13" spans="1:26" ht="14.4" x14ac:dyDescent="0.3">
      <c r="A13" s="2" t="s">
        <v>72</v>
      </c>
      <c r="B13" s="7">
        <v>45408</v>
      </c>
      <c r="C13" s="2" t="s">
        <v>40</v>
      </c>
      <c r="D13" s="2" t="s">
        <v>41</v>
      </c>
      <c r="E13" s="2" t="s">
        <v>46</v>
      </c>
      <c r="F13" s="2" t="s">
        <v>47</v>
      </c>
      <c r="G13" s="2" t="s">
        <v>48</v>
      </c>
      <c r="H13" s="2">
        <v>5</v>
      </c>
      <c r="I13" s="2">
        <v>149.99</v>
      </c>
      <c r="J13" s="2" t="s">
        <v>59</v>
      </c>
      <c r="K13" s="2" t="s">
        <v>42</v>
      </c>
      <c r="L13" s="2" t="s">
        <v>24</v>
      </c>
      <c r="M13" s="7">
        <v>44830</v>
      </c>
      <c r="N13" s="2">
        <v>749.95</v>
      </c>
    </row>
    <row r="14" spans="1:26" ht="14.4" x14ac:dyDescent="0.3">
      <c r="A14" s="2" t="s">
        <v>73</v>
      </c>
      <c r="B14" s="7">
        <v>45408</v>
      </c>
      <c r="C14" s="2" t="s">
        <v>74</v>
      </c>
      <c r="D14" s="2" t="s">
        <v>75</v>
      </c>
      <c r="E14" s="2" t="s">
        <v>46</v>
      </c>
      <c r="F14" s="2" t="s">
        <v>47</v>
      </c>
      <c r="G14" s="2" t="s">
        <v>48</v>
      </c>
      <c r="H14" s="2">
        <v>3</v>
      </c>
      <c r="I14" s="2">
        <v>149.99</v>
      </c>
      <c r="J14" s="2" t="s">
        <v>22</v>
      </c>
      <c r="K14" s="2" t="s">
        <v>42</v>
      </c>
      <c r="L14" s="2" t="s">
        <v>29</v>
      </c>
      <c r="M14" s="7">
        <v>44806</v>
      </c>
      <c r="N14" s="2">
        <v>449.97</v>
      </c>
    </row>
    <row r="15" spans="1:26" ht="14.4" x14ac:dyDescent="0.3">
      <c r="A15" s="2" t="s">
        <v>76</v>
      </c>
      <c r="B15" s="7">
        <v>45409</v>
      </c>
      <c r="C15" s="2" t="s">
        <v>77</v>
      </c>
      <c r="D15" s="2" t="s">
        <v>78</v>
      </c>
      <c r="E15" s="2" t="s">
        <v>33</v>
      </c>
      <c r="F15" s="2" t="s">
        <v>34</v>
      </c>
      <c r="G15" s="2" t="s">
        <v>35</v>
      </c>
      <c r="H15" s="2">
        <v>3</v>
      </c>
      <c r="I15" s="2">
        <v>59.99</v>
      </c>
      <c r="J15" s="2" t="s">
        <v>28</v>
      </c>
      <c r="K15" s="2" t="s">
        <v>42</v>
      </c>
      <c r="L15" s="2" t="s">
        <v>38</v>
      </c>
      <c r="M15" s="7">
        <v>45351</v>
      </c>
      <c r="N15" s="2">
        <v>179.97</v>
      </c>
    </row>
    <row r="16" spans="1:26" ht="14.4" x14ac:dyDescent="0.3">
      <c r="A16" s="2" t="s">
        <v>79</v>
      </c>
      <c r="B16" s="7">
        <v>45409</v>
      </c>
      <c r="C16" s="2" t="s">
        <v>80</v>
      </c>
      <c r="D16" s="2" t="s">
        <v>81</v>
      </c>
      <c r="E16" s="2" t="s">
        <v>82</v>
      </c>
      <c r="F16" s="2" t="s">
        <v>83</v>
      </c>
      <c r="G16" s="2" t="s">
        <v>21</v>
      </c>
      <c r="H16" s="2">
        <v>3</v>
      </c>
      <c r="I16" s="2">
        <v>699.99</v>
      </c>
      <c r="J16" s="2" t="s">
        <v>28</v>
      </c>
      <c r="K16" s="2" t="s">
        <v>52</v>
      </c>
      <c r="L16" s="2" t="s">
        <v>24</v>
      </c>
      <c r="M16" s="7">
        <v>44577</v>
      </c>
      <c r="N16" s="2">
        <v>2099.9699999999998</v>
      </c>
    </row>
    <row r="17" spans="1:14" ht="14.4" x14ac:dyDescent="0.3">
      <c r="A17" s="2" t="s">
        <v>84</v>
      </c>
      <c r="B17" s="7">
        <v>45409</v>
      </c>
      <c r="C17" s="2" t="s">
        <v>85</v>
      </c>
      <c r="D17" s="2" t="s">
        <v>86</v>
      </c>
      <c r="E17" s="2" t="s">
        <v>63</v>
      </c>
      <c r="F17" s="2" t="s">
        <v>64</v>
      </c>
      <c r="G17" s="2" t="s">
        <v>21</v>
      </c>
      <c r="H17" s="2">
        <v>1</v>
      </c>
      <c r="I17" s="2">
        <v>899.99</v>
      </c>
      <c r="J17" s="2" t="s">
        <v>59</v>
      </c>
      <c r="K17" s="2" t="s">
        <v>42</v>
      </c>
      <c r="L17" s="2" t="s">
        <v>38</v>
      </c>
      <c r="M17" s="7">
        <v>44920</v>
      </c>
      <c r="N17" s="2">
        <v>899.99</v>
      </c>
    </row>
    <row r="18" spans="1:14" ht="14.4" x14ac:dyDescent="0.3">
      <c r="A18" s="2" t="s">
        <v>87</v>
      </c>
      <c r="B18" s="7">
        <v>45410</v>
      </c>
      <c r="C18" s="2" t="s">
        <v>88</v>
      </c>
      <c r="D18" s="2" t="s">
        <v>89</v>
      </c>
      <c r="E18" s="2" t="s">
        <v>46</v>
      </c>
      <c r="F18" s="2" t="s">
        <v>47</v>
      </c>
      <c r="G18" s="2" t="s">
        <v>48</v>
      </c>
      <c r="H18" s="2">
        <v>4</v>
      </c>
      <c r="I18" s="2">
        <v>149.99</v>
      </c>
      <c r="J18" s="2" t="s">
        <v>59</v>
      </c>
      <c r="K18" s="2" t="s">
        <v>42</v>
      </c>
      <c r="L18" s="2" t="s">
        <v>29</v>
      </c>
      <c r="M18" s="7">
        <v>45374</v>
      </c>
      <c r="N18" s="2">
        <v>599.96</v>
      </c>
    </row>
    <row r="19" spans="1:14" ht="14.4" x14ac:dyDescent="0.3">
      <c r="A19" s="2" t="s">
        <v>90</v>
      </c>
      <c r="B19" s="7">
        <v>45410</v>
      </c>
      <c r="C19" s="2" t="s">
        <v>91</v>
      </c>
      <c r="D19" s="2" t="s">
        <v>92</v>
      </c>
      <c r="E19" s="2" t="s">
        <v>82</v>
      </c>
      <c r="F19" s="2" t="s">
        <v>83</v>
      </c>
      <c r="G19" s="2" t="s">
        <v>21</v>
      </c>
      <c r="H19" s="2">
        <v>2</v>
      </c>
      <c r="I19" s="2">
        <v>699.99</v>
      </c>
      <c r="J19" s="2" t="s">
        <v>22</v>
      </c>
      <c r="K19" s="2" t="s">
        <v>42</v>
      </c>
      <c r="L19" s="2" t="s">
        <v>24</v>
      </c>
      <c r="M19" s="7">
        <v>44781</v>
      </c>
      <c r="N19" s="2">
        <v>1399.98</v>
      </c>
    </row>
    <row r="20" spans="1:14" ht="14.4" x14ac:dyDescent="0.3">
      <c r="A20" s="2" t="s">
        <v>93</v>
      </c>
      <c r="B20" s="7">
        <v>45410</v>
      </c>
      <c r="C20" s="2" t="s">
        <v>88</v>
      </c>
      <c r="D20" s="2" t="s">
        <v>89</v>
      </c>
      <c r="E20" s="2" t="s">
        <v>63</v>
      </c>
      <c r="F20" s="2" t="s">
        <v>64</v>
      </c>
      <c r="G20" s="2" t="s">
        <v>21</v>
      </c>
      <c r="H20" s="2">
        <v>4</v>
      </c>
      <c r="I20" s="2">
        <v>899.99</v>
      </c>
      <c r="J20" s="2" t="s">
        <v>28</v>
      </c>
      <c r="K20" s="2" t="s">
        <v>52</v>
      </c>
      <c r="L20" s="2" t="s">
        <v>38</v>
      </c>
      <c r="M20" s="7">
        <v>45327</v>
      </c>
      <c r="N20" s="2">
        <v>3599.96</v>
      </c>
    </row>
    <row r="21" spans="1:14" ht="15.75" customHeight="1" x14ac:dyDescent="0.3">
      <c r="A21" s="2" t="s">
        <v>94</v>
      </c>
      <c r="B21" s="7">
        <v>45410</v>
      </c>
      <c r="C21" s="2" t="s">
        <v>95</v>
      </c>
      <c r="D21" s="2" t="s">
        <v>96</v>
      </c>
      <c r="E21" s="2" t="s">
        <v>19</v>
      </c>
      <c r="F21" s="2" t="s">
        <v>20</v>
      </c>
      <c r="G21" s="2" t="s">
        <v>21</v>
      </c>
      <c r="H21" s="2">
        <v>3</v>
      </c>
      <c r="I21" s="2">
        <v>249.99</v>
      </c>
      <c r="J21" s="2" t="s">
        <v>28</v>
      </c>
      <c r="K21" s="2" t="s">
        <v>42</v>
      </c>
      <c r="L21" s="2" t="s">
        <v>29</v>
      </c>
      <c r="M21" s="7">
        <v>45224</v>
      </c>
      <c r="N21" s="2">
        <v>749.97</v>
      </c>
    </row>
    <row r="22" spans="1:14" ht="15.75" customHeight="1" x14ac:dyDescent="0.3">
      <c r="A22" s="2" t="s">
        <v>97</v>
      </c>
      <c r="B22" s="7">
        <v>45412</v>
      </c>
      <c r="C22" s="2" t="s">
        <v>98</v>
      </c>
      <c r="D22" s="2" t="s">
        <v>99</v>
      </c>
      <c r="E22" s="2" t="s">
        <v>82</v>
      </c>
      <c r="F22" s="2" t="s">
        <v>83</v>
      </c>
      <c r="G22" s="2" t="s">
        <v>21</v>
      </c>
      <c r="H22" s="2">
        <v>5</v>
      </c>
      <c r="I22" s="2">
        <v>699.99</v>
      </c>
      <c r="J22" s="2" t="s">
        <v>22</v>
      </c>
      <c r="K22" s="2" t="s">
        <v>52</v>
      </c>
      <c r="L22" s="2" t="s">
        <v>24</v>
      </c>
      <c r="M22" s="7">
        <v>45167</v>
      </c>
      <c r="N22" s="2">
        <v>3499.95</v>
      </c>
    </row>
    <row r="23" spans="1:14" ht="15.75" customHeight="1" x14ac:dyDescent="0.3">
      <c r="A23" s="2" t="s">
        <v>100</v>
      </c>
      <c r="B23" s="7">
        <v>45413</v>
      </c>
      <c r="C23" s="2" t="s">
        <v>101</v>
      </c>
      <c r="D23" s="2" t="s">
        <v>102</v>
      </c>
      <c r="E23" s="2" t="s">
        <v>82</v>
      </c>
      <c r="F23" s="2" t="s">
        <v>83</v>
      </c>
      <c r="G23" s="2" t="s">
        <v>21</v>
      </c>
      <c r="H23" s="2">
        <v>4</v>
      </c>
      <c r="I23" s="2">
        <v>699.99</v>
      </c>
      <c r="J23" s="2" t="s">
        <v>22</v>
      </c>
      <c r="K23" s="2" t="s">
        <v>65</v>
      </c>
      <c r="L23" s="2" t="s">
        <v>38</v>
      </c>
      <c r="M23" s="7">
        <v>44409</v>
      </c>
      <c r="N23" s="2">
        <v>2799.96</v>
      </c>
    </row>
    <row r="24" spans="1:14" ht="15.75" customHeight="1" x14ac:dyDescent="0.3">
      <c r="A24" s="2" t="s">
        <v>103</v>
      </c>
      <c r="B24" s="7">
        <v>45415</v>
      </c>
      <c r="C24" s="2" t="s">
        <v>104</v>
      </c>
      <c r="D24" s="2" t="s">
        <v>105</v>
      </c>
      <c r="E24" s="2" t="s">
        <v>19</v>
      </c>
      <c r="F24" s="2" t="s">
        <v>20</v>
      </c>
      <c r="G24" s="2" t="s">
        <v>21</v>
      </c>
      <c r="H24" s="2">
        <v>4</v>
      </c>
      <c r="I24" s="2">
        <v>249.99</v>
      </c>
      <c r="J24" s="2" t="s">
        <v>36</v>
      </c>
      <c r="K24" s="2" t="s">
        <v>42</v>
      </c>
      <c r="L24" s="2" t="s">
        <v>38</v>
      </c>
      <c r="M24" s="7">
        <v>44468</v>
      </c>
      <c r="N24" s="2">
        <v>999.96</v>
      </c>
    </row>
    <row r="25" spans="1:14" ht="15.75" customHeight="1" x14ac:dyDescent="0.3">
      <c r="A25" s="2" t="s">
        <v>106</v>
      </c>
      <c r="B25" s="7">
        <v>45416</v>
      </c>
      <c r="C25" s="2" t="s">
        <v>88</v>
      </c>
      <c r="D25" s="2" t="s">
        <v>89</v>
      </c>
      <c r="E25" s="2" t="s">
        <v>107</v>
      </c>
      <c r="F25" s="2" t="s">
        <v>108</v>
      </c>
      <c r="G25" s="2" t="s">
        <v>48</v>
      </c>
      <c r="H25" s="2">
        <v>4</v>
      </c>
      <c r="I25" s="2">
        <v>299.99</v>
      </c>
      <c r="J25" s="2" t="s">
        <v>22</v>
      </c>
      <c r="K25" s="2" t="s">
        <v>52</v>
      </c>
      <c r="L25" s="2" t="s">
        <v>29</v>
      </c>
      <c r="M25" s="7">
        <v>44716</v>
      </c>
      <c r="N25" s="2">
        <v>1199.96</v>
      </c>
    </row>
    <row r="26" spans="1:14" ht="15.75" customHeight="1" x14ac:dyDescent="0.3">
      <c r="A26" s="2" t="s">
        <v>109</v>
      </c>
      <c r="B26" s="7">
        <v>45422</v>
      </c>
      <c r="C26" s="2" t="s">
        <v>110</v>
      </c>
      <c r="D26" s="2" t="s">
        <v>111</v>
      </c>
      <c r="E26" s="2" t="s">
        <v>19</v>
      </c>
      <c r="F26" s="2" t="s">
        <v>20</v>
      </c>
      <c r="G26" s="2" t="s">
        <v>21</v>
      </c>
      <c r="H26" s="2">
        <v>5</v>
      </c>
      <c r="I26" s="2">
        <v>249.99</v>
      </c>
      <c r="J26" s="2" t="s">
        <v>28</v>
      </c>
      <c r="K26" s="2" t="s">
        <v>52</v>
      </c>
      <c r="L26" s="2" t="s">
        <v>38</v>
      </c>
      <c r="M26" s="7">
        <v>44525</v>
      </c>
      <c r="N26" s="2">
        <v>1249.95</v>
      </c>
    </row>
    <row r="27" spans="1:14" ht="15.75" customHeight="1" x14ac:dyDescent="0.3">
      <c r="A27" s="2" t="s">
        <v>112</v>
      </c>
      <c r="B27" s="7">
        <v>45424</v>
      </c>
      <c r="C27" s="2" t="s">
        <v>70</v>
      </c>
      <c r="D27" s="2" t="s">
        <v>71</v>
      </c>
      <c r="E27" s="2" t="s">
        <v>107</v>
      </c>
      <c r="F27" s="2" t="s">
        <v>108</v>
      </c>
      <c r="G27" s="2" t="s">
        <v>48</v>
      </c>
      <c r="H27" s="2">
        <v>5</v>
      </c>
      <c r="I27" s="2">
        <v>299.99</v>
      </c>
      <c r="J27" s="2" t="s">
        <v>36</v>
      </c>
      <c r="K27" s="2" t="s">
        <v>65</v>
      </c>
      <c r="L27" s="2" t="s">
        <v>24</v>
      </c>
      <c r="M27" s="7">
        <v>45168</v>
      </c>
      <c r="N27" s="2">
        <v>1499.95</v>
      </c>
    </row>
    <row r="28" spans="1:14" ht="15.75" customHeight="1" x14ac:dyDescent="0.3">
      <c r="A28" s="2" t="s">
        <v>113</v>
      </c>
      <c r="B28" s="7">
        <v>45424</v>
      </c>
      <c r="C28" s="2" t="s">
        <v>114</v>
      </c>
      <c r="D28" s="2" t="s">
        <v>115</v>
      </c>
      <c r="E28" s="2" t="s">
        <v>116</v>
      </c>
      <c r="F28" s="2" t="s">
        <v>117</v>
      </c>
      <c r="G28" s="2" t="s">
        <v>35</v>
      </c>
      <c r="H28" s="2">
        <v>3</v>
      </c>
      <c r="I28" s="2">
        <v>79.989999999999995</v>
      </c>
      <c r="J28" s="2" t="s">
        <v>36</v>
      </c>
      <c r="K28" s="2" t="s">
        <v>65</v>
      </c>
      <c r="L28" s="2" t="s">
        <v>29</v>
      </c>
      <c r="M28" s="7">
        <v>45012</v>
      </c>
      <c r="N28" s="2">
        <v>239.97</v>
      </c>
    </row>
    <row r="29" spans="1:14" ht="15.75" customHeight="1" x14ac:dyDescent="0.3">
      <c r="A29" s="2" t="s">
        <v>118</v>
      </c>
      <c r="B29" s="7">
        <v>45424</v>
      </c>
      <c r="C29" s="2" t="s">
        <v>101</v>
      </c>
      <c r="D29" s="2" t="s">
        <v>102</v>
      </c>
      <c r="E29" s="2" t="s">
        <v>119</v>
      </c>
      <c r="F29" s="2" t="s">
        <v>120</v>
      </c>
      <c r="G29" s="2" t="s">
        <v>21</v>
      </c>
      <c r="H29" s="2">
        <v>5</v>
      </c>
      <c r="I29" s="2">
        <v>89.99</v>
      </c>
      <c r="J29" s="2" t="s">
        <v>22</v>
      </c>
      <c r="K29" s="2" t="s">
        <v>42</v>
      </c>
      <c r="L29" s="2" t="s">
        <v>29</v>
      </c>
      <c r="M29" s="7">
        <v>44919</v>
      </c>
      <c r="N29" s="2">
        <v>449.95</v>
      </c>
    </row>
    <row r="30" spans="1:14" ht="15.75" customHeight="1" x14ac:dyDescent="0.3">
      <c r="A30" s="2" t="s">
        <v>121</v>
      </c>
      <c r="B30" s="7">
        <v>45425</v>
      </c>
      <c r="C30" s="2" t="s">
        <v>122</v>
      </c>
      <c r="D30" s="2" t="s">
        <v>123</v>
      </c>
      <c r="E30" s="2" t="s">
        <v>33</v>
      </c>
      <c r="F30" s="2" t="s">
        <v>34</v>
      </c>
      <c r="G30" s="2" t="s">
        <v>35</v>
      </c>
      <c r="H30" s="2">
        <v>2</v>
      </c>
      <c r="I30" s="2">
        <v>59.99</v>
      </c>
      <c r="J30" s="2" t="s">
        <v>59</v>
      </c>
      <c r="K30" s="2" t="s">
        <v>23</v>
      </c>
      <c r="L30" s="2" t="s">
        <v>38</v>
      </c>
      <c r="M30" s="7">
        <v>45214</v>
      </c>
      <c r="N30" s="2">
        <v>119.98</v>
      </c>
    </row>
    <row r="31" spans="1:14" ht="15.75" customHeight="1" x14ac:dyDescent="0.3">
      <c r="A31" s="2" t="s">
        <v>124</v>
      </c>
      <c r="B31" s="7">
        <v>45427</v>
      </c>
      <c r="C31" s="2" t="s">
        <v>125</v>
      </c>
      <c r="D31" s="2" t="s">
        <v>126</v>
      </c>
      <c r="E31" s="2" t="s">
        <v>33</v>
      </c>
      <c r="F31" s="2" t="s">
        <v>34</v>
      </c>
      <c r="G31" s="2" t="s">
        <v>35</v>
      </c>
      <c r="H31" s="2">
        <v>4</v>
      </c>
      <c r="I31" s="2">
        <v>59.99</v>
      </c>
      <c r="J31" s="2" t="s">
        <v>59</v>
      </c>
      <c r="K31" s="2" t="s">
        <v>65</v>
      </c>
      <c r="L31" s="2" t="s">
        <v>38</v>
      </c>
      <c r="M31" s="7">
        <v>44867</v>
      </c>
      <c r="N31" s="2">
        <v>239.96</v>
      </c>
    </row>
    <row r="32" spans="1:14" ht="15.75" customHeight="1" x14ac:dyDescent="0.3">
      <c r="A32" s="2" t="s">
        <v>127</v>
      </c>
      <c r="B32" s="7">
        <v>45427</v>
      </c>
      <c r="C32" s="2" t="s">
        <v>57</v>
      </c>
      <c r="D32" s="2" t="s">
        <v>58</v>
      </c>
      <c r="E32" s="2" t="s">
        <v>128</v>
      </c>
      <c r="F32" s="2" t="s">
        <v>129</v>
      </c>
      <c r="G32" s="2" t="s">
        <v>48</v>
      </c>
      <c r="H32" s="2">
        <v>5</v>
      </c>
      <c r="I32" s="2">
        <v>199.99</v>
      </c>
      <c r="J32" s="2" t="s">
        <v>22</v>
      </c>
      <c r="K32" s="2" t="s">
        <v>37</v>
      </c>
      <c r="L32" s="2" t="s">
        <v>38</v>
      </c>
      <c r="M32" s="7">
        <v>44412</v>
      </c>
      <c r="N32" s="2">
        <v>999.95</v>
      </c>
    </row>
    <row r="33" spans="1:14" ht="15.75" customHeight="1" x14ac:dyDescent="0.3">
      <c r="A33" s="2" t="s">
        <v>130</v>
      </c>
      <c r="B33" s="7">
        <v>45428</v>
      </c>
      <c r="C33" s="2" t="s">
        <v>131</v>
      </c>
      <c r="D33" s="2" t="s">
        <v>132</v>
      </c>
      <c r="E33" s="2" t="s">
        <v>46</v>
      </c>
      <c r="F33" s="2" t="s">
        <v>47</v>
      </c>
      <c r="G33" s="2" t="s">
        <v>48</v>
      </c>
      <c r="H33" s="2">
        <v>2</v>
      </c>
      <c r="I33" s="2">
        <v>149.99</v>
      </c>
      <c r="J33" s="2" t="s">
        <v>28</v>
      </c>
      <c r="K33" s="2" t="s">
        <v>52</v>
      </c>
      <c r="L33" s="2" t="s">
        <v>24</v>
      </c>
      <c r="M33" s="7">
        <v>44823</v>
      </c>
      <c r="N33" s="2">
        <v>299.98</v>
      </c>
    </row>
    <row r="34" spans="1:14" ht="15.75" customHeight="1" x14ac:dyDescent="0.3">
      <c r="A34" s="2" t="s">
        <v>133</v>
      </c>
      <c r="B34" s="7">
        <v>45430</v>
      </c>
      <c r="C34" s="2" t="s">
        <v>134</v>
      </c>
      <c r="D34" s="2" t="s">
        <v>135</v>
      </c>
      <c r="E34" s="2" t="s">
        <v>46</v>
      </c>
      <c r="F34" s="2" t="s">
        <v>47</v>
      </c>
      <c r="G34" s="2" t="s">
        <v>48</v>
      </c>
      <c r="H34" s="2">
        <v>3</v>
      </c>
      <c r="I34" s="2">
        <v>149.99</v>
      </c>
      <c r="J34" s="2" t="s">
        <v>28</v>
      </c>
      <c r="K34" s="2" t="s">
        <v>52</v>
      </c>
      <c r="L34" s="2" t="s">
        <v>29</v>
      </c>
      <c r="M34" s="7">
        <v>45068</v>
      </c>
      <c r="N34" s="2">
        <v>449.97</v>
      </c>
    </row>
    <row r="35" spans="1:14" ht="15.75" customHeight="1" x14ac:dyDescent="0.3">
      <c r="A35" s="2" t="s">
        <v>136</v>
      </c>
      <c r="B35" s="7">
        <v>45432</v>
      </c>
      <c r="C35" s="2" t="s">
        <v>31</v>
      </c>
      <c r="D35" s="2" t="s">
        <v>32</v>
      </c>
      <c r="E35" s="2" t="s">
        <v>63</v>
      </c>
      <c r="F35" s="2" t="s">
        <v>64</v>
      </c>
      <c r="G35" s="2" t="s">
        <v>21</v>
      </c>
      <c r="H35" s="2">
        <v>1</v>
      </c>
      <c r="I35" s="2">
        <v>899.99</v>
      </c>
      <c r="J35" s="2" t="s">
        <v>28</v>
      </c>
      <c r="K35" s="2" t="s">
        <v>52</v>
      </c>
      <c r="L35" s="2" t="s">
        <v>29</v>
      </c>
      <c r="M35" s="7">
        <v>44578</v>
      </c>
      <c r="N35" s="2">
        <v>899.99</v>
      </c>
    </row>
    <row r="36" spans="1:14" ht="15.75" customHeight="1" x14ac:dyDescent="0.3">
      <c r="A36" s="2" t="s">
        <v>137</v>
      </c>
      <c r="B36" s="7">
        <v>45434</v>
      </c>
      <c r="C36" s="2" t="s">
        <v>101</v>
      </c>
      <c r="D36" s="2" t="s">
        <v>102</v>
      </c>
      <c r="E36" s="2" t="s">
        <v>107</v>
      </c>
      <c r="F36" s="2" t="s">
        <v>108</v>
      </c>
      <c r="G36" s="2" t="s">
        <v>48</v>
      </c>
      <c r="H36" s="2">
        <v>3</v>
      </c>
      <c r="I36" s="2">
        <v>299.99</v>
      </c>
      <c r="J36" s="2" t="s">
        <v>28</v>
      </c>
      <c r="K36" s="2" t="s">
        <v>65</v>
      </c>
      <c r="L36" s="2" t="s">
        <v>24</v>
      </c>
      <c r="M36" s="7">
        <v>44824</v>
      </c>
      <c r="N36" s="2">
        <v>899.97</v>
      </c>
    </row>
    <row r="37" spans="1:14" ht="15.75" customHeight="1" x14ac:dyDescent="0.3">
      <c r="A37" s="2" t="s">
        <v>138</v>
      </c>
      <c r="B37" s="7">
        <v>45435</v>
      </c>
      <c r="C37" s="2" t="s">
        <v>131</v>
      </c>
      <c r="D37" s="2" t="s">
        <v>132</v>
      </c>
      <c r="E37" s="2" t="s">
        <v>116</v>
      </c>
      <c r="F37" s="2" t="s">
        <v>117</v>
      </c>
      <c r="G37" s="2" t="s">
        <v>35</v>
      </c>
      <c r="H37" s="2">
        <v>3</v>
      </c>
      <c r="I37" s="2">
        <v>79.989999999999995</v>
      </c>
      <c r="J37" s="2" t="s">
        <v>22</v>
      </c>
      <c r="K37" s="2" t="s">
        <v>37</v>
      </c>
      <c r="L37" s="2" t="s">
        <v>24</v>
      </c>
      <c r="M37" s="7">
        <v>45046</v>
      </c>
      <c r="N37" s="2">
        <v>239.97</v>
      </c>
    </row>
    <row r="38" spans="1:14" ht="15.75" customHeight="1" x14ac:dyDescent="0.3">
      <c r="A38" s="2" t="s">
        <v>139</v>
      </c>
      <c r="B38" s="7">
        <v>45438</v>
      </c>
      <c r="C38" s="2" t="s">
        <v>140</v>
      </c>
      <c r="D38" s="2" t="s">
        <v>141</v>
      </c>
      <c r="E38" s="2" t="s">
        <v>128</v>
      </c>
      <c r="F38" s="2" t="s">
        <v>129</v>
      </c>
      <c r="G38" s="2" t="s">
        <v>48</v>
      </c>
      <c r="H38" s="2">
        <v>3</v>
      </c>
      <c r="I38" s="2">
        <v>199.99</v>
      </c>
      <c r="J38" s="2" t="s">
        <v>28</v>
      </c>
      <c r="K38" s="2" t="s">
        <v>42</v>
      </c>
      <c r="L38" s="2" t="s">
        <v>29</v>
      </c>
      <c r="M38" s="7">
        <v>45292</v>
      </c>
      <c r="N38" s="2">
        <v>599.97</v>
      </c>
    </row>
    <row r="39" spans="1:14" ht="15.75" customHeight="1" x14ac:dyDescent="0.3">
      <c r="A39" s="2" t="s">
        <v>142</v>
      </c>
      <c r="B39" s="7">
        <v>45440</v>
      </c>
      <c r="C39" s="2" t="s">
        <v>143</v>
      </c>
      <c r="D39" s="2" t="s">
        <v>144</v>
      </c>
      <c r="E39" s="2" t="s">
        <v>82</v>
      </c>
      <c r="F39" s="2" t="s">
        <v>83</v>
      </c>
      <c r="G39" s="2" t="s">
        <v>21</v>
      </c>
      <c r="H39" s="2">
        <v>5</v>
      </c>
      <c r="I39" s="2">
        <v>699.99</v>
      </c>
      <c r="J39" s="2" t="s">
        <v>36</v>
      </c>
      <c r="K39" s="2" t="s">
        <v>52</v>
      </c>
      <c r="L39" s="2" t="s">
        <v>38</v>
      </c>
      <c r="M39" s="7">
        <v>44407</v>
      </c>
      <c r="N39" s="2">
        <v>3499.95</v>
      </c>
    </row>
    <row r="40" spans="1:14" ht="15.75" customHeight="1" x14ac:dyDescent="0.3">
      <c r="A40" s="2" t="s">
        <v>145</v>
      </c>
      <c r="B40" s="7">
        <v>45441</v>
      </c>
      <c r="C40" s="2" t="s">
        <v>146</v>
      </c>
      <c r="D40" s="2" t="s">
        <v>147</v>
      </c>
      <c r="E40" s="2" t="s">
        <v>119</v>
      </c>
      <c r="F40" s="2" t="s">
        <v>120</v>
      </c>
      <c r="G40" s="2" t="s">
        <v>21</v>
      </c>
      <c r="H40" s="2">
        <v>3</v>
      </c>
      <c r="I40" s="2">
        <v>89.99</v>
      </c>
      <c r="J40" s="2" t="s">
        <v>36</v>
      </c>
      <c r="K40" s="2" t="s">
        <v>23</v>
      </c>
      <c r="L40" s="2" t="s">
        <v>29</v>
      </c>
      <c r="M40" s="7">
        <v>45120</v>
      </c>
      <c r="N40" s="2">
        <v>269.97000000000003</v>
      </c>
    </row>
    <row r="41" spans="1:14" ht="15.75" customHeight="1" x14ac:dyDescent="0.3">
      <c r="A41" s="2" t="s">
        <v>148</v>
      </c>
      <c r="B41" s="7">
        <v>45443</v>
      </c>
      <c r="C41" s="2" t="s">
        <v>149</v>
      </c>
      <c r="D41" s="2" t="s">
        <v>150</v>
      </c>
      <c r="E41" s="2" t="s">
        <v>116</v>
      </c>
      <c r="F41" s="2" t="s">
        <v>117</v>
      </c>
      <c r="G41" s="2" t="s">
        <v>35</v>
      </c>
      <c r="H41" s="2">
        <v>1</v>
      </c>
      <c r="I41" s="2">
        <v>79.989999999999995</v>
      </c>
      <c r="J41" s="2" t="s">
        <v>22</v>
      </c>
      <c r="K41" s="2" t="s">
        <v>42</v>
      </c>
      <c r="L41" s="2" t="s">
        <v>38</v>
      </c>
      <c r="M41" s="7">
        <v>44917</v>
      </c>
      <c r="N41" s="2">
        <v>79.989999999999995</v>
      </c>
    </row>
    <row r="42" spans="1:14" ht="15.75" customHeight="1" x14ac:dyDescent="0.3">
      <c r="A42" s="2" t="s">
        <v>151</v>
      </c>
      <c r="B42" s="7">
        <v>45444</v>
      </c>
      <c r="C42" s="2" t="s">
        <v>152</v>
      </c>
      <c r="D42" s="2" t="s">
        <v>153</v>
      </c>
      <c r="E42" s="2" t="s">
        <v>33</v>
      </c>
      <c r="F42" s="2" t="s">
        <v>34</v>
      </c>
      <c r="G42" s="2" t="s">
        <v>35</v>
      </c>
      <c r="H42" s="2">
        <v>2</v>
      </c>
      <c r="I42" s="2">
        <v>59.99</v>
      </c>
      <c r="J42" s="2" t="s">
        <v>22</v>
      </c>
      <c r="K42" s="2" t="s">
        <v>52</v>
      </c>
      <c r="L42" s="2" t="s">
        <v>24</v>
      </c>
      <c r="M42" s="7">
        <v>45390</v>
      </c>
      <c r="N42" s="2">
        <v>119.98</v>
      </c>
    </row>
    <row r="43" spans="1:14" ht="15.75" customHeight="1" x14ac:dyDescent="0.3">
      <c r="A43" s="2" t="s">
        <v>154</v>
      </c>
      <c r="B43" s="7">
        <v>45444</v>
      </c>
      <c r="C43" s="2" t="s">
        <v>57</v>
      </c>
      <c r="D43" s="2" t="s">
        <v>58</v>
      </c>
      <c r="E43" s="2" t="s">
        <v>119</v>
      </c>
      <c r="F43" s="2" t="s">
        <v>120</v>
      </c>
      <c r="G43" s="2" t="s">
        <v>21</v>
      </c>
      <c r="H43" s="2">
        <v>1</v>
      </c>
      <c r="I43" s="2">
        <v>89.99</v>
      </c>
      <c r="J43" s="2" t="s">
        <v>22</v>
      </c>
      <c r="K43" s="2" t="s">
        <v>42</v>
      </c>
      <c r="L43" s="2" t="s">
        <v>24</v>
      </c>
      <c r="M43" s="7">
        <v>45141</v>
      </c>
      <c r="N43" s="2">
        <v>89.99</v>
      </c>
    </row>
    <row r="44" spans="1:14" ht="15.75" customHeight="1" x14ac:dyDescent="0.3">
      <c r="A44" s="2" t="s">
        <v>155</v>
      </c>
      <c r="B44" s="7">
        <v>45446</v>
      </c>
      <c r="C44" s="2" t="s">
        <v>156</v>
      </c>
      <c r="D44" s="2" t="s">
        <v>157</v>
      </c>
      <c r="E44" s="2" t="s">
        <v>119</v>
      </c>
      <c r="F44" s="2" t="s">
        <v>120</v>
      </c>
      <c r="G44" s="2" t="s">
        <v>21</v>
      </c>
      <c r="H44" s="2">
        <v>5</v>
      </c>
      <c r="I44" s="2">
        <v>89.99</v>
      </c>
      <c r="J44" s="2" t="s">
        <v>28</v>
      </c>
      <c r="K44" s="2" t="s">
        <v>65</v>
      </c>
      <c r="L44" s="2" t="s">
        <v>38</v>
      </c>
      <c r="M44" s="7">
        <v>44587</v>
      </c>
      <c r="N44" s="2">
        <v>449.95</v>
      </c>
    </row>
    <row r="45" spans="1:14" ht="15.75" customHeight="1" x14ac:dyDescent="0.3">
      <c r="A45" s="2" t="s">
        <v>158</v>
      </c>
      <c r="B45" s="7">
        <v>45449</v>
      </c>
      <c r="C45" s="2" t="s">
        <v>26</v>
      </c>
      <c r="D45" s="2" t="s">
        <v>27</v>
      </c>
      <c r="E45" s="2" t="s">
        <v>19</v>
      </c>
      <c r="F45" s="2" t="s">
        <v>20</v>
      </c>
      <c r="G45" s="2" t="s">
        <v>21</v>
      </c>
      <c r="H45" s="2">
        <v>5</v>
      </c>
      <c r="I45" s="2">
        <v>249.99</v>
      </c>
      <c r="J45" s="2" t="s">
        <v>28</v>
      </c>
      <c r="K45" s="2" t="s">
        <v>65</v>
      </c>
      <c r="L45" s="2" t="s">
        <v>38</v>
      </c>
      <c r="M45" s="7">
        <v>44707</v>
      </c>
      <c r="N45" s="2">
        <v>1249.95</v>
      </c>
    </row>
    <row r="46" spans="1:14" ht="15.75" customHeight="1" x14ac:dyDescent="0.3">
      <c r="A46" s="2" t="s">
        <v>159</v>
      </c>
      <c r="B46" s="7">
        <v>45449</v>
      </c>
      <c r="C46" s="2" t="s">
        <v>160</v>
      </c>
      <c r="D46" s="2" t="s">
        <v>161</v>
      </c>
      <c r="E46" s="2" t="s">
        <v>119</v>
      </c>
      <c r="F46" s="2" t="s">
        <v>120</v>
      </c>
      <c r="G46" s="2" t="s">
        <v>21</v>
      </c>
      <c r="H46" s="2">
        <v>1</v>
      </c>
      <c r="I46" s="2">
        <v>89.99</v>
      </c>
      <c r="J46" s="2" t="s">
        <v>28</v>
      </c>
      <c r="K46" s="2" t="s">
        <v>37</v>
      </c>
      <c r="L46" s="2" t="s">
        <v>38</v>
      </c>
      <c r="M46" s="7">
        <v>44582</v>
      </c>
      <c r="N46" s="2">
        <v>89.99</v>
      </c>
    </row>
    <row r="47" spans="1:14" ht="15.75" customHeight="1" x14ac:dyDescent="0.3">
      <c r="A47" s="2" t="s">
        <v>162</v>
      </c>
      <c r="B47" s="7">
        <v>45450</v>
      </c>
      <c r="C47" s="2" t="s">
        <v>44</v>
      </c>
      <c r="D47" s="2" t="s">
        <v>45</v>
      </c>
      <c r="E47" s="2" t="s">
        <v>46</v>
      </c>
      <c r="F47" s="2" t="s">
        <v>47</v>
      </c>
      <c r="G47" s="2" t="s">
        <v>48</v>
      </c>
      <c r="H47" s="2">
        <v>2</v>
      </c>
      <c r="I47" s="2">
        <v>149.99</v>
      </c>
      <c r="J47" s="2" t="s">
        <v>22</v>
      </c>
      <c r="K47" s="2" t="s">
        <v>65</v>
      </c>
      <c r="L47" s="2" t="s">
        <v>29</v>
      </c>
      <c r="M47" s="7">
        <v>44645</v>
      </c>
      <c r="N47" s="2">
        <v>299.98</v>
      </c>
    </row>
    <row r="48" spans="1:14" ht="15.75" customHeight="1" x14ac:dyDescent="0.3">
      <c r="A48" s="2" t="s">
        <v>163</v>
      </c>
      <c r="B48" s="7">
        <v>45452</v>
      </c>
      <c r="C48" s="2" t="s">
        <v>164</v>
      </c>
      <c r="D48" s="2" t="s">
        <v>165</v>
      </c>
      <c r="E48" s="2" t="s">
        <v>33</v>
      </c>
      <c r="F48" s="2" t="s">
        <v>34</v>
      </c>
      <c r="G48" s="2" t="s">
        <v>35</v>
      </c>
      <c r="H48" s="2">
        <v>4</v>
      </c>
      <c r="I48" s="2">
        <v>59.99</v>
      </c>
      <c r="J48" s="2" t="s">
        <v>22</v>
      </c>
      <c r="K48" s="2" t="s">
        <v>65</v>
      </c>
      <c r="L48" s="2" t="s">
        <v>38</v>
      </c>
      <c r="M48" s="7">
        <v>44435</v>
      </c>
      <c r="N48" s="2">
        <v>239.96</v>
      </c>
    </row>
    <row r="49" spans="1:14" ht="15.75" customHeight="1" x14ac:dyDescent="0.3">
      <c r="A49" s="2" t="s">
        <v>166</v>
      </c>
      <c r="B49" s="7">
        <v>45456</v>
      </c>
      <c r="C49" s="2" t="s">
        <v>131</v>
      </c>
      <c r="D49" s="2" t="s">
        <v>132</v>
      </c>
      <c r="E49" s="2" t="s">
        <v>119</v>
      </c>
      <c r="F49" s="2" t="s">
        <v>120</v>
      </c>
      <c r="G49" s="2" t="s">
        <v>21</v>
      </c>
      <c r="H49" s="2">
        <v>5</v>
      </c>
      <c r="I49" s="2">
        <v>89.99</v>
      </c>
      <c r="J49" s="2" t="s">
        <v>22</v>
      </c>
      <c r="K49" s="2" t="s">
        <v>23</v>
      </c>
      <c r="L49" s="2" t="s">
        <v>29</v>
      </c>
      <c r="M49" s="7">
        <v>44579</v>
      </c>
      <c r="N49" s="2">
        <v>449.95</v>
      </c>
    </row>
    <row r="50" spans="1:14" ht="15.75" customHeight="1" x14ac:dyDescent="0.3">
      <c r="A50" s="2" t="s">
        <v>167</v>
      </c>
      <c r="B50" s="7">
        <v>45459</v>
      </c>
      <c r="C50" s="2" t="s">
        <v>101</v>
      </c>
      <c r="D50" s="2" t="s">
        <v>102</v>
      </c>
      <c r="E50" s="2" t="s">
        <v>119</v>
      </c>
      <c r="F50" s="2" t="s">
        <v>120</v>
      </c>
      <c r="G50" s="2" t="s">
        <v>21</v>
      </c>
      <c r="H50" s="2">
        <v>2</v>
      </c>
      <c r="I50" s="2">
        <v>89.99</v>
      </c>
      <c r="J50" s="2" t="s">
        <v>28</v>
      </c>
      <c r="K50" s="2" t="s">
        <v>37</v>
      </c>
      <c r="L50" s="2" t="s">
        <v>29</v>
      </c>
      <c r="M50" s="7">
        <v>44471</v>
      </c>
      <c r="N50" s="2">
        <v>179.98</v>
      </c>
    </row>
    <row r="51" spans="1:14" ht="15.75" customHeight="1" x14ac:dyDescent="0.3">
      <c r="A51" s="2" t="s">
        <v>168</v>
      </c>
      <c r="B51" s="7">
        <v>45459</v>
      </c>
      <c r="C51" s="2" t="s">
        <v>17</v>
      </c>
      <c r="D51" s="2" t="s">
        <v>18</v>
      </c>
      <c r="E51" s="2" t="s">
        <v>63</v>
      </c>
      <c r="F51" s="2" t="s">
        <v>64</v>
      </c>
      <c r="G51" s="2" t="s">
        <v>21</v>
      </c>
      <c r="H51" s="2">
        <v>5</v>
      </c>
      <c r="I51" s="2">
        <v>899.99</v>
      </c>
      <c r="J51" s="2" t="s">
        <v>28</v>
      </c>
      <c r="K51" s="2" t="s">
        <v>37</v>
      </c>
      <c r="L51" s="2" t="s">
        <v>38</v>
      </c>
      <c r="M51" s="7">
        <v>44974</v>
      </c>
      <c r="N51" s="2">
        <v>4499.95</v>
      </c>
    </row>
    <row r="52" spans="1:14" ht="15.75" customHeight="1" x14ac:dyDescent="0.3">
      <c r="A52" s="2" t="s">
        <v>169</v>
      </c>
      <c r="B52" s="7">
        <v>45459</v>
      </c>
      <c r="C52" s="2" t="s">
        <v>125</v>
      </c>
      <c r="D52" s="2" t="s">
        <v>126</v>
      </c>
      <c r="E52" s="2" t="s">
        <v>63</v>
      </c>
      <c r="F52" s="2" t="s">
        <v>64</v>
      </c>
      <c r="G52" s="2" t="s">
        <v>21</v>
      </c>
      <c r="H52" s="2">
        <v>5</v>
      </c>
      <c r="I52" s="2">
        <v>899.99</v>
      </c>
      <c r="J52" s="2" t="s">
        <v>36</v>
      </c>
      <c r="K52" s="2" t="s">
        <v>65</v>
      </c>
      <c r="L52" s="2" t="s">
        <v>29</v>
      </c>
      <c r="M52" s="7">
        <v>45278</v>
      </c>
      <c r="N52" s="2">
        <v>4499.95</v>
      </c>
    </row>
    <row r="53" spans="1:14" ht="15.75" customHeight="1" x14ac:dyDescent="0.3">
      <c r="A53" s="2" t="s">
        <v>170</v>
      </c>
      <c r="B53" s="7">
        <v>45460</v>
      </c>
      <c r="C53" s="2" t="s">
        <v>160</v>
      </c>
      <c r="D53" s="2" t="s">
        <v>161</v>
      </c>
      <c r="E53" s="2" t="s">
        <v>33</v>
      </c>
      <c r="F53" s="2" t="s">
        <v>34</v>
      </c>
      <c r="G53" s="2" t="s">
        <v>35</v>
      </c>
      <c r="H53" s="2">
        <v>1</v>
      </c>
      <c r="I53" s="2">
        <v>59.99</v>
      </c>
      <c r="J53" s="2" t="s">
        <v>59</v>
      </c>
      <c r="K53" s="2" t="s">
        <v>52</v>
      </c>
      <c r="L53" s="2" t="s">
        <v>29</v>
      </c>
      <c r="M53" s="7">
        <v>45190</v>
      </c>
      <c r="N53" s="2">
        <v>59.99</v>
      </c>
    </row>
    <row r="54" spans="1:14" ht="15.75" customHeight="1" x14ac:dyDescent="0.3">
      <c r="A54" s="2" t="s">
        <v>171</v>
      </c>
      <c r="B54" s="7">
        <v>45460</v>
      </c>
      <c r="C54" s="2" t="s">
        <v>143</v>
      </c>
      <c r="D54" s="2" t="s">
        <v>144</v>
      </c>
      <c r="E54" s="2" t="s">
        <v>107</v>
      </c>
      <c r="F54" s="2" t="s">
        <v>108</v>
      </c>
      <c r="G54" s="2" t="s">
        <v>48</v>
      </c>
      <c r="H54" s="2">
        <v>2</v>
      </c>
      <c r="I54" s="2">
        <v>299.99</v>
      </c>
      <c r="J54" s="2" t="s">
        <v>59</v>
      </c>
      <c r="K54" s="2" t="s">
        <v>65</v>
      </c>
      <c r="L54" s="2" t="s">
        <v>38</v>
      </c>
      <c r="M54" s="7">
        <v>45253</v>
      </c>
      <c r="N54" s="2">
        <v>599.98</v>
      </c>
    </row>
    <row r="55" spans="1:14" ht="15.75" customHeight="1" x14ac:dyDescent="0.3">
      <c r="A55" s="2" t="s">
        <v>172</v>
      </c>
      <c r="B55" s="7">
        <v>45468</v>
      </c>
      <c r="C55" s="2" t="s">
        <v>173</v>
      </c>
      <c r="D55" s="2" t="s">
        <v>174</v>
      </c>
      <c r="E55" s="2" t="s">
        <v>119</v>
      </c>
      <c r="F55" s="2" t="s">
        <v>120</v>
      </c>
      <c r="G55" s="2" t="s">
        <v>21</v>
      </c>
      <c r="H55" s="2">
        <v>4</v>
      </c>
      <c r="I55" s="2">
        <v>89.99</v>
      </c>
      <c r="J55" s="2" t="s">
        <v>59</v>
      </c>
      <c r="K55" s="2" t="s">
        <v>37</v>
      </c>
      <c r="L55" s="2" t="s">
        <v>24</v>
      </c>
      <c r="M55" s="7">
        <v>45281</v>
      </c>
      <c r="N55" s="2">
        <v>359.96</v>
      </c>
    </row>
    <row r="56" spans="1:14" ht="15.75" customHeight="1" x14ac:dyDescent="0.3">
      <c r="A56" s="2" t="s">
        <v>175</v>
      </c>
      <c r="B56" s="7">
        <v>45469</v>
      </c>
      <c r="C56" s="2" t="s">
        <v>31</v>
      </c>
      <c r="D56" s="2" t="s">
        <v>32</v>
      </c>
      <c r="E56" s="2" t="s">
        <v>116</v>
      </c>
      <c r="F56" s="2" t="s">
        <v>117</v>
      </c>
      <c r="G56" s="2" t="s">
        <v>35</v>
      </c>
      <c r="H56" s="2">
        <v>1</v>
      </c>
      <c r="I56" s="2">
        <v>79.989999999999995</v>
      </c>
      <c r="J56" s="2" t="s">
        <v>36</v>
      </c>
      <c r="K56" s="2" t="s">
        <v>23</v>
      </c>
      <c r="L56" s="2" t="s">
        <v>29</v>
      </c>
      <c r="M56" s="7">
        <v>45352</v>
      </c>
      <c r="N56" s="2">
        <v>79.989999999999995</v>
      </c>
    </row>
    <row r="57" spans="1:14" ht="15.75" customHeight="1" x14ac:dyDescent="0.3">
      <c r="A57" s="2" t="s">
        <v>176</v>
      </c>
      <c r="B57" s="7">
        <v>45469</v>
      </c>
      <c r="C57" s="2" t="s">
        <v>61</v>
      </c>
      <c r="D57" s="2" t="s">
        <v>62</v>
      </c>
      <c r="E57" s="2" t="s">
        <v>119</v>
      </c>
      <c r="F57" s="2" t="s">
        <v>120</v>
      </c>
      <c r="G57" s="2" t="s">
        <v>21</v>
      </c>
      <c r="H57" s="2">
        <v>2</v>
      </c>
      <c r="I57" s="2">
        <v>89.99</v>
      </c>
      <c r="J57" s="2" t="s">
        <v>22</v>
      </c>
      <c r="K57" s="2" t="s">
        <v>52</v>
      </c>
      <c r="L57" s="2" t="s">
        <v>24</v>
      </c>
      <c r="M57" s="7">
        <v>44438</v>
      </c>
      <c r="N57" s="2">
        <v>179.98</v>
      </c>
    </row>
    <row r="58" spans="1:14" ht="15.75" customHeight="1" x14ac:dyDescent="0.3">
      <c r="A58" s="2" t="s">
        <v>177</v>
      </c>
      <c r="B58" s="7">
        <v>45471</v>
      </c>
      <c r="C58" s="2" t="s">
        <v>40</v>
      </c>
      <c r="D58" s="2" t="s">
        <v>41</v>
      </c>
      <c r="E58" s="2" t="s">
        <v>82</v>
      </c>
      <c r="F58" s="2" t="s">
        <v>83</v>
      </c>
      <c r="G58" s="2" t="s">
        <v>21</v>
      </c>
      <c r="H58" s="2">
        <v>3</v>
      </c>
      <c r="I58" s="2">
        <v>699.99</v>
      </c>
      <c r="J58" s="2" t="s">
        <v>28</v>
      </c>
      <c r="K58" s="2" t="s">
        <v>65</v>
      </c>
      <c r="L58" s="2" t="s">
        <v>29</v>
      </c>
      <c r="M58" s="7">
        <v>45102</v>
      </c>
      <c r="N58" s="2">
        <v>2099.9699999999998</v>
      </c>
    </row>
    <row r="59" spans="1:14" ht="15.75" customHeight="1" x14ac:dyDescent="0.3">
      <c r="A59" s="2" t="s">
        <v>178</v>
      </c>
      <c r="B59" s="7">
        <v>45471</v>
      </c>
      <c r="C59" s="2" t="s">
        <v>101</v>
      </c>
      <c r="D59" s="2" t="s">
        <v>102</v>
      </c>
      <c r="E59" s="2" t="s">
        <v>63</v>
      </c>
      <c r="F59" s="2" t="s">
        <v>64</v>
      </c>
      <c r="G59" s="2" t="s">
        <v>21</v>
      </c>
      <c r="H59" s="2">
        <v>4</v>
      </c>
      <c r="I59" s="2">
        <v>899.99</v>
      </c>
      <c r="J59" s="2" t="s">
        <v>28</v>
      </c>
      <c r="K59" s="2" t="s">
        <v>65</v>
      </c>
      <c r="L59" s="2" t="s">
        <v>29</v>
      </c>
      <c r="M59" s="7">
        <v>44993</v>
      </c>
      <c r="N59" s="2">
        <v>3599.96</v>
      </c>
    </row>
    <row r="60" spans="1:14" ht="15.75" customHeight="1" x14ac:dyDescent="0.3">
      <c r="A60" s="2" t="s">
        <v>179</v>
      </c>
      <c r="B60" s="7">
        <v>45472</v>
      </c>
      <c r="C60" s="2" t="s">
        <v>122</v>
      </c>
      <c r="D60" s="2" t="s">
        <v>123</v>
      </c>
      <c r="E60" s="2" t="s">
        <v>46</v>
      </c>
      <c r="F60" s="2" t="s">
        <v>47</v>
      </c>
      <c r="G60" s="2" t="s">
        <v>48</v>
      </c>
      <c r="H60" s="2">
        <v>1</v>
      </c>
      <c r="I60" s="2">
        <v>149.99</v>
      </c>
      <c r="J60" s="2" t="s">
        <v>36</v>
      </c>
      <c r="K60" s="2" t="s">
        <v>65</v>
      </c>
      <c r="L60" s="2" t="s">
        <v>24</v>
      </c>
      <c r="M60" s="7">
        <v>44851</v>
      </c>
      <c r="N60" s="2">
        <v>149.99</v>
      </c>
    </row>
    <row r="61" spans="1:14" ht="15.75" customHeight="1" x14ac:dyDescent="0.3">
      <c r="A61" s="2" t="s">
        <v>180</v>
      </c>
      <c r="B61" s="7">
        <v>45474</v>
      </c>
      <c r="C61" s="2" t="s">
        <v>134</v>
      </c>
      <c r="D61" s="2" t="s">
        <v>135</v>
      </c>
      <c r="E61" s="2" t="s">
        <v>119</v>
      </c>
      <c r="F61" s="2" t="s">
        <v>120</v>
      </c>
      <c r="G61" s="2" t="s">
        <v>21</v>
      </c>
      <c r="H61" s="2">
        <v>2</v>
      </c>
      <c r="I61" s="2">
        <v>89.99</v>
      </c>
      <c r="J61" s="2" t="s">
        <v>36</v>
      </c>
      <c r="K61" s="2" t="s">
        <v>23</v>
      </c>
      <c r="L61" s="2" t="s">
        <v>29</v>
      </c>
      <c r="M61" s="7">
        <v>45275</v>
      </c>
      <c r="N61" s="2">
        <v>179.98</v>
      </c>
    </row>
    <row r="62" spans="1:14" ht="15.75" customHeight="1" x14ac:dyDescent="0.3">
      <c r="A62" s="2" t="s">
        <v>181</v>
      </c>
      <c r="B62" s="7">
        <v>45475</v>
      </c>
      <c r="C62" s="2" t="s">
        <v>57</v>
      </c>
      <c r="D62" s="2" t="s">
        <v>58</v>
      </c>
      <c r="E62" s="2" t="s">
        <v>119</v>
      </c>
      <c r="F62" s="2" t="s">
        <v>120</v>
      </c>
      <c r="G62" s="2" t="s">
        <v>21</v>
      </c>
      <c r="H62" s="2">
        <v>1</v>
      </c>
      <c r="I62" s="2">
        <v>89.99</v>
      </c>
      <c r="J62" s="2" t="s">
        <v>36</v>
      </c>
      <c r="K62" s="2" t="s">
        <v>52</v>
      </c>
      <c r="L62" s="2" t="s">
        <v>38</v>
      </c>
      <c r="M62" s="7">
        <v>44802</v>
      </c>
      <c r="N62" s="2">
        <v>89.99</v>
      </c>
    </row>
    <row r="63" spans="1:14" ht="15.75" customHeight="1" x14ac:dyDescent="0.3">
      <c r="A63" s="2" t="s">
        <v>182</v>
      </c>
      <c r="B63" s="7">
        <v>45476</v>
      </c>
      <c r="C63" s="2" t="s">
        <v>70</v>
      </c>
      <c r="D63" s="2" t="s">
        <v>71</v>
      </c>
      <c r="E63" s="2" t="s">
        <v>119</v>
      </c>
      <c r="F63" s="2" t="s">
        <v>120</v>
      </c>
      <c r="G63" s="2" t="s">
        <v>21</v>
      </c>
      <c r="H63" s="2">
        <v>1</v>
      </c>
      <c r="I63" s="2">
        <v>89.99</v>
      </c>
      <c r="J63" s="2" t="s">
        <v>22</v>
      </c>
      <c r="K63" s="2" t="s">
        <v>37</v>
      </c>
      <c r="L63" s="2" t="s">
        <v>38</v>
      </c>
      <c r="M63" s="7">
        <v>44611</v>
      </c>
      <c r="N63" s="2">
        <v>89.99</v>
      </c>
    </row>
    <row r="64" spans="1:14" ht="15.75" customHeight="1" x14ac:dyDescent="0.3">
      <c r="A64" s="2" t="s">
        <v>183</v>
      </c>
      <c r="B64" s="7">
        <v>45476</v>
      </c>
      <c r="C64" s="2" t="s">
        <v>184</v>
      </c>
      <c r="D64" s="2" t="s">
        <v>185</v>
      </c>
      <c r="E64" s="2" t="s">
        <v>116</v>
      </c>
      <c r="F64" s="2" t="s">
        <v>117</v>
      </c>
      <c r="G64" s="2" t="s">
        <v>35</v>
      </c>
      <c r="H64" s="2">
        <v>5</v>
      </c>
      <c r="I64" s="2">
        <v>79.989999999999995</v>
      </c>
      <c r="J64" s="2" t="s">
        <v>59</v>
      </c>
      <c r="K64" s="2" t="s">
        <v>23</v>
      </c>
      <c r="L64" s="2" t="s">
        <v>24</v>
      </c>
      <c r="M64" s="7">
        <v>44981</v>
      </c>
      <c r="N64" s="2">
        <v>399.95</v>
      </c>
    </row>
    <row r="65" spans="1:14" ht="15.75" customHeight="1" x14ac:dyDescent="0.3">
      <c r="A65" s="2" t="s">
        <v>186</v>
      </c>
      <c r="B65" s="7">
        <v>45481</v>
      </c>
      <c r="C65" s="2" t="s">
        <v>187</v>
      </c>
      <c r="D65" s="2" t="s">
        <v>188</v>
      </c>
      <c r="E65" s="2" t="s">
        <v>46</v>
      </c>
      <c r="F65" s="2" t="s">
        <v>47</v>
      </c>
      <c r="G65" s="2" t="s">
        <v>48</v>
      </c>
      <c r="H65" s="2">
        <v>1</v>
      </c>
      <c r="I65" s="2">
        <v>149.99</v>
      </c>
      <c r="J65" s="2" t="s">
        <v>36</v>
      </c>
      <c r="K65" s="2" t="s">
        <v>42</v>
      </c>
      <c r="L65" s="2" t="s">
        <v>24</v>
      </c>
      <c r="M65" s="7">
        <v>44421</v>
      </c>
      <c r="N65" s="2">
        <v>149.99</v>
      </c>
    </row>
    <row r="66" spans="1:14" ht="15.75" customHeight="1" x14ac:dyDescent="0.3">
      <c r="A66" s="2" t="s">
        <v>189</v>
      </c>
      <c r="B66" s="7">
        <v>45481</v>
      </c>
      <c r="C66" s="2" t="s">
        <v>44</v>
      </c>
      <c r="D66" s="2" t="s">
        <v>45</v>
      </c>
      <c r="E66" s="2" t="s">
        <v>82</v>
      </c>
      <c r="F66" s="2" t="s">
        <v>83</v>
      </c>
      <c r="G66" s="2" t="s">
        <v>21</v>
      </c>
      <c r="H66" s="2">
        <v>2</v>
      </c>
      <c r="I66" s="2">
        <v>699.99</v>
      </c>
      <c r="J66" s="2" t="s">
        <v>36</v>
      </c>
      <c r="K66" s="2" t="s">
        <v>65</v>
      </c>
      <c r="L66" s="2" t="s">
        <v>29</v>
      </c>
      <c r="M66" s="7">
        <v>45389</v>
      </c>
      <c r="N66" s="2">
        <v>1399.98</v>
      </c>
    </row>
    <row r="67" spans="1:14" ht="15.75" customHeight="1" x14ac:dyDescent="0.3">
      <c r="A67" s="2" t="s">
        <v>190</v>
      </c>
      <c r="B67" s="7">
        <v>45481</v>
      </c>
      <c r="C67" s="2" t="s">
        <v>98</v>
      </c>
      <c r="D67" s="2" t="s">
        <v>99</v>
      </c>
      <c r="E67" s="2" t="s">
        <v>119</v>
      </c>
      <c r="F67" s="2" t="s">
        <v>120</v>
      </c>
      <c r="G67" s="2" t="s">
        <v>21</v>
      </c>
      <c r="H67" s="2">
        <v>5</v>
      </c>
      <c r="I67" s="2">
        <v>89.99</v>
      </c>
      <c r="J67" s="2" t="s">
        <v>59</v>
      </c>
      <c r="K67" s="2" t="s">
        <v>42</v>
      </c>
      <c r="L67" s="2" t="s">
        <v>29</v>
      </c>
      <c r="M67" s="7">
        <v>45161</v>
      </c>
      <c r="N67" s="2">
        <v>449.95</v>
      </c>
    </row>
    <row r="68" spans="1:14" ht="15.75" customHeight="1" x14ac:dyDescent="0.3">
      <c r="A68" s="2" t="s">
        <v>191</v>
      </c>
      <c r="B68" s="7">
        <v>45482</v>
      </c>
      <c r="C68" s="2" t="s">
        <v>173</v>
      </c>
      <c r="D68" s="2" t="s">
        <v>174</v>
      </c>
      <c r="E68" s="2" t="s">
        <v>33</v>
      </c>
      <c r="F68" s="2" t="s">
        <v>34</v>
      </c>
      <c r="G68" s="2" t="s">
        <v>35</v>
      </c>
      <c r="H68" s="2">
        <v>4</v>
      </c>
      <c r="I68" s="2">
        <v>59.99</v>
      </c>
      <c r="J68" s="2" t="s">
        <v>22</v>
      </c>
      <c r="K68" s="2" t="s">
        <v>37</v>
      </c>
      <c r="L68" s="2" t="s">
        <v>38</v>
      </c>
      <c r="M68" s="7">
        <v>44509</v>
      </c>
      <c r="N68" s="2">
        <v>239.96</v>
      </c>
    </row>
    <row r="69" spans="1:14" ht="15.75" customHeight="1" x14ac:dyDescent="0.3">
      <c r="A69" s="2" t="s">
        <v>192</v>
      </c>
      <c r="B69" s="7">
        <v>45484</v>
      </c>
      <c r="C69" s="2" t="s">
        <v>26</v>
      </c>
      <c r="D69" s="2" t="s">
        <v>27</v>
      </c>
      <c r="E69" s="2" t="s">
        <v>54</v>
      </c>
      <c r="F69" s="2" t="s">
        <v>55</v>
      </c>
      <c r="G69" s="2" t="s">
        <v>21</v>
      </c>
      <c r="H69" s="2">
        <v>1</v>
      </c>
      <c r="I69" s="2">
        <v>149.99</v>
      </c>
      <c r="J69" s="2" t="s">
        <v>22</v>
      </c>
      <c r="K69" s="2" t="s">
        <v>23</v>
      </c>
      <c r="L69" s="2" t="s">
        <v>38</v>
      </c>
      <c r="M69" s="7">
        <v>44909</v>
      </c>
      <c r="N69" s="2">
        <v>149.99</v>
      </c>
    </row>
    <row r="70" spans="1:14" ht="15.75" customHeight="1" x14ac:dyDescent="0.3">
      <c r="A70" s="2" t="s">
        <v>193</v>
      </c>
      <c r="B70" s="7">
        <v>45484</v>
      </c>
      <c r="C70" s="2" t="s">
        <v>194</v>
      </c>
      <c r="D70" s="2" t="s">
        <v>195</v>
      </c>
      <c r="E70" s="2" t="s">
        <v>107</v>
      </c>
      <c r="F70" s="2" t="s">
        <v>108</v>
      </c>
      <c r="G70" s="2" t="s">
        <v>48</v>
      </c>
      <c r="H70" s="2">
        <v>1</v>
      </c>
      <c r="I70" s="2">
        <v>299.99</v>
      </c>
      <c r="J70" s="2" t="s">
        <v>28</v>
      </c>
      <c r="K70" s="2" t="s">
        <v>42</v>
      </c>
      <c r="L70" s="2" t="s">
        <v>29</v>
      </c>
      <c r="M70" s="7">
        <v>44891</v>
      </c>
      <c r="N70" s="2">
        <v>299.99</v>
      </c>
    </row>
    <row r="71" spans="1:14" ht="15.75" customHeight="1" x14ac:dyDescent="0.3">
      <c r="A71" s="2" t="s">
        <v>196</v>
      </c>
      <c r="B71" s="7">
        <v>45487</v>
      </c>
      <c r="C71" s="2" t="s">
        <v>194</v>
      </c>
      <c r="D71" s="2" t="s">
        <v>195</v>
      </c>
      <c r="E71" s="2" t="s">
        <v>128</v>
      </c>
      <c r="F71" s="2" t="s">
        <v>129</v>
      </c>
      <c r="G71" s="2" t="s">
        <v>48</v>
      </c>
      <c r="H71" s="2">
        <v>2</v>
      </c>
      <c r="I71" s="2">
        <v>199.99</v>
      </c>
      <c r="J71" s="2" t="s">
        <v>22</v>
      </c>
      <c r="K71" s="2" t="s">
        <v>42</v>
      </c>
      <c r="L71" s="2" t="s">
        <v>24</v>
      </c>
      <c r="M71" s="7">
        <v>44541</v>
      </c>
      <c r="N71" s="2">
        <v>399.98</v>
      </c>
    </row>
    <row r="72" spans="1:14" ht="15.75" customHeight="1" x14ac:dyDescent="0.3">
      <c r="A72" s="2" t="s">
        <v>197</v>
      </c>
      <c r="B72" s="7">
        <v>45490</v>
      </c>
      <c r="C72" s="2" t="s">
        <v>198</v>
      </c>
      <c r="D72" s="2" t="s">
        <v>199</v>
      </c>
      <c r="E72" s="2" t="s">
        <v>33</v>
      </c>
      <c r="F72" s="2" t="s">
        <v>34</v>
      </c>
      <c r="G72" s="2" t="s">
        <v>35</v>
      </c>
      <c r="H72" s="2">
        <v>3</v>
      </c>
      <c r="I72" s="2">
        <v>59.99</v>
      </c>
      <c r="J72" s="2" t="s">
        <v>28</v>
      </c>
      <c r="K72" s="2" t="s">
        <v>52</v>
      </c>
      <c r="L72" s="2" t="s">
        <v>24</v>
      </c>
      <c r="M72" s="7">
        <v>45130</v>
      </c>
      <c r="N72" s="2">
        <v>179.97</v>
      </c>
    </row>
    <row r="73" spans="1:14" ht="15.75" customHeight="1" x14ac:dyDescent="0.3">
      <c r="A73" s="2" t="s">
        <v>200</v>
      </c>
      <c r="B73" s="7">
        <v>45490</v>
      </c>
      <c r="C73" s="2" t="s">
        <v>74</v>
      </c>
      <c r="D73" s="2" t="s">
        <v>75</v>
      </c>
      <c r="E73" s="2" t="s">
        <v>46</v>
      </c>
      <c r="F73" s="2" t="s">
        <v>47</v>
      </c>
      <c r="G73" s="2" t="s">
        <v>48</v>
      </c>
      <c r="H73" s="2">
        <v>3</v>
      </c>
      <c r="I73" s="2">
        <v>149.99</v>
      </c>
      <c r="J73" s="2" t="s">
        <v>22</v>
      </c>
      <c r="K73" s="2" t="s">
        <v>23</v>
      </c>
      <c r="L73" s="2" t="s">
        <v>29</v>
      </c>
      <c r="M73" s="7">
        <v>45199</v>
      </c>
      <c r="N73" s="2">
        <v>449.97</v>
      </c>
    </row>
    <row r="74" spans="1:14" ht="15.75" customHeight="1" x14ac:dyDescent="0.3">
      <c r="A74" s="2" t="s">
        <v>201</v>
      </c>
      <c r="B74" s="7">
        <v>45491</v>
      </c>
      <c r="C74" s="2" t="s">
        <v>67</v>
      </c>
      <c r="D74" s="2" t="s">
        <v>68</v>
      </c>
      <c r="E74" s="2" t="s">
        <v>128</v>
      </c>
      <c r="F74" s="2" t="s">
        <v>129</v>
      </c>
      <c r="G74" s="2" t="s">
        <v>48</v>
      </c>
      <c r="H74" s="2">
        <v>3</v>
      </c>
      <c r="I74" s="2">
        <v>199.99</v>
      </c>
      <c r="J74" s="2" t="s">
        <v>22</v>
      </c>
      <c r="K74" s="2" t="s">
        <v>42</v>
      </c>
      <c r="L74" s="2" t="s">
        <v>29</v>
      </c>
      <c r="M74" s="7">
        <v>45254</v>
      </c>
      <c r="N74" s="2">
        <v>599.97</v>
      </c>
    </row>
    <row r="75" spans="1:14" ht="15.75" customHeight="1" x14ac:dyDescent="0.3">
      <c r="A75" s="2" t="s">
        <v>202</v>
      </c>
      <c r="B75" s="7">
        <v>45496</v>
      </c>
      <c r="C75" s="2" t="s">
        <v>152</v>
      </c>
      <c r="D75" s="2" t="s">
        <v>153</v>
      </c>
      <c r="E75" s="2" t="s">
        <v>63</v>
      </c>
      <c r="F75" s="2" t="s">
        <v>64</v>
      </c>
      <c r="G75" s="2" t="s">
        <v>21</v>
      </c>
      <c r="H75" s="2">
        <v>1</v>
      </c>
      <c r="I75" s="2">
        <v>899.99</v>
      </c>
      <c r="J75" s="2" t="s">
        <v>22</v>
      </c>
      <c r="K75" s="2" t="s">
        <v>23</v>
      </c>
      <c r="L75" s="2" t="s">
        <v>38</v>
      </c>
      <c r="M75" s="7">
        <v>45179</v>
      </c>
      <c r="N75" s="2">
        <v>899.99</v>
      </c>
    </row>
    <row r="76" spans="1:14" ht="15.75" customHeight="1" x14ac:dyDescent="0.3">
      <c r="A76" s="2" t="s">
        <v>203</v>
      </c>
      <c r="B76" s="7">
        <v>45497</v>
      </c>
      <c r="C76" s="2" t="s">
        <v>26</v>
      </c>
      <c r="D76" s="2" t="s">
        <v>27</v>
      </c>
      <c r="E76" s="2" t="s">
        <v>63</v>
      </c>
      <c r="F76" s="2" t="s">
        <v>64</v>
      </c>
      <c r="G76" s="2" t="s">
        <v>21</v>
      </c>
      <c r="H76" s="2">
        <v>5</v>
      </c>
      <c r="I76" s="2">
        <v>899.99</v>
      </c>
      <c r="J76" s="2" t="s">
        <v>59</v>
      </c>
      <c r="K76" s="2" t="s">
        <v>37</v>
      </c>
      <c r="L76" s="2" t="s">
        <v>38</v>
      </c>
      <c r="M76" s="7">
        <v>44899</v>
      </c>
      <c r="N76" s="2">
        <v>4499.95</v>
      </c>
    </row>
    <row r="77" spans="1:14" ht="15.75" customHeight="1" x14ac:dyDescent="0.3">
      <c r="A77" s="2" t="s">
        <v>204</v>
      </c>
      <c r="B77" s="7">
        <v>45498</v>
      </c>
      <c r="C77" s="2" t="s">
        <v>184</v>
      </c>
      <c r="D77" s="2" t="s">
        <v>185</v>
      </c>
      <c r="E77" s="2" t="s">
        <v>33</v>
      </c>
      <c r="F77" s="2" t="s">
        <v>34</v>
      </c>
      <c r="G77" s="2" t="s">
        <v>35</v>
      </c>
      <c r="H77" s="2">
        <v>2</v>
      </c>
      <c r="I77" s="2">
        <v>59.99</v>
      </c>
      <c r="J77" s="2" t="s">
        <v>22</v>
      </c>
      <c r="K77" s="2" t="s">
        <v>42</v>
      </c>
      <c r="L77" s="2" t="s">
        <v>38</v>
      </c>
      <c r="M77" s="7">
        <v>45152</v>
      </c>
      <c r="N77" s="2">
        <v>119.98</v>
      </c>
    </row>
    <row r="78" spans="1:14" ht="15.75" customHeight="1" x14ac:dyDescent="0.3">
      <c r="A78" s="2" t="s">
        <v>205</v>
      </c>
      <c r="B78" s="7">
        <v>45498</v>
      </c>
      <c r="C78" s="2" t="s">
        <v>198</v>
      </c>
      <c r="D78" s="2" t="s">
        <v>199</v>
      </c>
      <c r="E78" s="2" t="s">
        <v>19</v>
      </c>
      <c r="F78" s="2" t="s">
        <v>20</v>
      </c>
      <c r="G78" s="2" t="s">
        <v>21</v>
      </c>
      <c r="H78" s="2">
        <v>4</v>
      </c>
      <c r="I78" s="2">
        <v>249.99</v>
      </c>
      <c r="J78" s="2" t="s">
        <v>59</v>
      </c>
      <c r="K78" s="2" t="s">
        <v>23</v>
      </c>
      <c r="L78" s="2" t="s">
        <v>38</v>
      </c>
      <c r="M78" s="7">
        <v>45127</v>
      </c>
      <c r="N78" s="2">
        <v>999.96</v>
      </c>
    </row>
    <row r="79" spans="1:14" ht="15.75" customHeight="1" x14ac:dyDescent="0.3">
      <c r="A79" s="2" t="s">
        <v>206</v>
      </c>
      <c r="B79" s="7">
        <v>45500</v>
      </c>
      <c r="C79" s="2" t="s">
        <v>98</v>
      </c>
      <c r="D79" s="2" t="s">
        <v>99</v>
      </c>
      <c r="E79" s="2" t="s">
        <v>19</v>
      </c>
      <c r="F79" s="2" t="s">
        <v>20</v>
      </c>
      <c r="G79" s="2" t="s">
        <v>21</v>
      </c>
      <c r="H79" s="2">
        <v>2</v>
      </c>
      <c r="I79" s="2">
        <v>249.99</v>
      </c>
      <c r="J79" s="2" t="s">
        <v>22</v>
      </c>
      <c r="K79" s="2" t="s">
        <v>42</v>
      </c>
      <c r="L79" s="2" t="s">
        <v>29</v>
      </c>
      <c r="M79" s="7">
        <v>45164</v>
      </c>
      <c r="N79" s="2">
        <v>499.98</v>
      </c>
    </row>
    <row r="80" spans="1:14" ht="15.75" customHeight="1" x14ac:dyDescent="0.3">
      <c r="A80" s="2" t="s">
        <v>207</v>
      </c>
      <c r="B80" s="7">
        <v>45500</v>
      </c>
      <c r="C80" s="2" t="s">
        <v>149</v>
      </c>
      <c r="D80" s="2" t="s">
        <v>150</v>
      </c>
      <c r="E80" s="2" t="s">
        <v>107</v>
      </c>
      <c r="F80" s="2" t="s">
        <v>108</v>
      </c>
      <c r="G80" s="2" t="s">
        <v>48</v>
      </c>
      <c r="H80" s="2">
        <v>1</v>
      </c>
      <c r="I80" s="2">
        <v>299.99</v>
      </c>
      <c r="J80" s="2" t="s">
        <v>22</v>
      </c>
      <c r="K80" s="2" t="s">
        <v>37</v>
      </c>
      <c r="L80" s="2" t="s">
        <v>24</v>
      </c>
      <c r="M80" s="7">
        <v>44982</v>
      </c>
      <c r="N80" s="2">
        <v>299.99</v>
      </c>
    </row>
    <row r="81" spans="1:14" ht="15.75" customHeight="1" x14ac:dyDescent="0.3">
      <c r="A81" s="2" t="s">
        <v>208</v>
      </c>
      <c r="B81" s="7">
        <v>45501</v>
      </c>
      <c r="C81" s="2" t="s">
        <v>88</v>
      </c>
      <c r="D81" s="2" t="s">
        <v>89</v>
      </c>
      <c r="E81" s="2" t="s">
        <v>119</v>
      </c>
      <c r="F81" s="2" t="s">
        <v>120</v>
      </c>
      <c r="G81" s="2" t="s">
        <v>21</v>
      </c>
      <c r="H81" s="2">
        <v>2</v>
      </c>
      <c r="I81" s="2">
        <v>89.99</v>
      </c>
      <c r="J81" s="2" t="s">
        <v>36</v>
      </c>
      <c r="K81" s="2" t="s">
        <v>37</v>
      </c>
      <c r="L81" s="2" t="s">
        <v>24</v>
      </c>
      <c r="M81" s="7">
        <v>44976</v>
      </c>
      <c r="N81" s="2">
        <v>179.98</v>
      </c>
    </row>
    <row r="82" spans="1:14" ht="15.75" customHeight="1" x14ac:dyDescent="0.3">
      <c r="A82" s="2" t="s">
        <v>209</v>
      </c>
      <c r="B82" s="7">
        <v>45501</v>
      </c>
      <c r="C82" s="2" t="s">
        <v>149</v>
      </c>
      <c r="D82" s="2" t="s">
        <v>150</v>
      </c>
      <c r="E82" s="2" t="s">
        <v>107</v>
      </c>
      <c r="F82" s="2" t="s">
        <v>108</v>
      </c>
      <c r="G82" s="2" t="s">
        <v>48</v>
      </c>
      <c r="H82" s="2">
        <v>3</v>
      </c>
      <c r="I82" s="2">
        <v>299.99</v>
      </c>
      <c r="J82" s="2" t="s">
        <v>22</v>
      </c>
      <c r="K82" s="2" t="s">
        <v>23</v>
      </c>
      <c r="L82" s="2" t="s">
        <v>24</v>
      </c>
      <c r="M82" s="7">
        <v>44732</v>
      </c>
      <c r="N82" s="2">
        <v>899.97</v>
      </c>
    </row>
    <row r="83" spans="1:14" ht="15.75" customHeight="1" x14ac:dyDescent="0.3">
      <c r="A83" s="2" t="s">
        <v>210</v>
      </c>
      <c r="B83" s="7">
        <v>45503</v>
      </c>
      <c r="C83" s="2" t="s">
        <v>88</v>
      </c>
      <c r="D83" s="2" t="s">
        <v>89</v>
      </c>
      <c r="E83" s="2" t="s">
        <v>82</v>
      </c>
      <c r="F83" s="2" t="s">
        <v>83</v>
      </c>
      <c r="G83" s="2" t="s">
        <v>21</v>
      </c>
      <c r="H83" s="2">
        <v>2</v>
      </c>
      <c r="I83" s="2">
        <v>699.99</v>
      </c>
      <c r="J83" s="2" t="s">
        <v>28</v>
      </c>
      <c r="K83" s="2" t="s">
        <v>42</v>
      </c>
      <c r="L83" s="2" t="s">
        <v>29</v>
      </c>
      <c r="M83" s="7">
        <v>44999</v>
      </c>
      <c r="N83" s="2">
        <v>1399.98</v>
      </c>
    </row>
    <row r="84" spans="1:14" ht="15.75" customHeight="1" x14ac:dyDescent="0.3">
      <c r="A84" s="2" t="s">
        <v>211</v>
      </c>
      <c r="B84" s="7">
        <v>45504</v>
      </c>
      <c r="C84" s="2" t="s">
        <v>122</v>
      </c>
      <c r="D84" s="2" t="s">
        <v>123</v>
      </c>
      <c r="E84" s="2" t="s">
        <v>63</v>
      </c>
      <c r="F84" s="2" t="s">
        <v>64</v>
      </c>
      <c r="G84" s="2" t="s">
        <v>21</v>
      </c>
      <c r="H84" s="2">
        <v>4</v>
      </c>
      <c r="I84" s="2">
        <v>899.99</v>
      </c>
      <c r="J84" s="2" t="s">
        <v>59</v>
      </c>
      <c r="K84" s="2" t="s">
        <v>37</v>
      </c>
      <c r="L84" s="2" t="s">
        <v>38</v>
      </c>
      <c r="M84" s="7">
        <v>44523</v>
      </c>
      <c r="N84" s="2">
        <v>3599.96</v>
      </c>
    </row>
    <row r="85" spans="1:14" ht="15.75" customHeight="1" x14ac:dyDescent="0.3">
      <c r="A85" s="2" t="s">
        <v>212</v>
      </c>
      <c r="B85" s="7">
        <v>45509</v>
      </c>
      <c r="C85" s="2" t="s">
        <v>213</v>
      </c>
      <c r="D85" s="2" t="s">
        <v>214</v>
      </c>
      <c r="E85" s="2" t="s">
        <v>46</v>
      </c>
      <c r="F85" s="2" t="s">
        <v>47</v>
      </c>
      <c r="G85" s="2" t="s">
        <v>48</v>
      </c>
      <c r="H85" s="2">
        <v>2</v>
      </c>
      <c r="I85" s="2">
        <v>149.99</v>
      </c>
      <c r="J85" s="2" t="s">
        <v>28</v>
      </c>
      <c r="K85" s="2" t="s">
        <v>52</v>
      </c>
      <c r="L85" s="2" t="s">
        <v>24</v>
      </c>
      <c r="M85" s="7">
        <v>44542</v>
      </c>
      <c r="N85" s="2">
        <v>299.98</v>
      </c>
    </row>
    <row r="86" spans="1:14" ht="15.75" customHeight="1" x14ac:dyDescent="0.3">
      <c r="A86" s="2" t="s">
        <v>215</v>
      </c>
      <c r="B86" s="7">
        <v>45510</v>
      </c>
      <c r="C86" s="2" t="s">
        <v>104</v>
      </c>
      <c r="D86" s="2" t="s">
        <v>105</v>
      </c>
      <c r="E86" s="2" t="s">
        <v>46</v>
      </c>
      <c r="F86" s="2" t="s">
        <v>47</v>
      </c>
      <c r="G86" s="2" t="s">
        <v>48</v>
      </c>
      <c r="H86" s="2">
        <v>2</v>
      </c>
      <c r="I86" s="2">
        <v>149.99</v>
      </c>
      <c r="J86" s="2" t="s">
        <v>59</v>
      </c>
      <c r="K86" s="2" t="s">
        <v>65</v>
      </c>
      <c r="L86" s="2" t="s">
        <v>38</v>
      </c>
      <c r="M86" s="7">
        <v>44667</v>
      </c>
      <c r="N86" s="2">
        <v>299.98</v>
      </c>
    </row>
    <row r="87" spans="1:14" ht="15.75" customHeight="1" x14ac:dyDescent="0.3">
      <c r="A87" s="2" t="s">
        <v>216</v>
      </c>
      <c r="B87" s="7">
        <v>45513</v>
      </c>
      <c r="C87" s="2" t="s">
        <v>91</v>
      </c>
      <c r="D87" s="2" t="s">
        <v>92</v>
      </c>
      <c r="E87" s="2" t="s">
        <v>119</v>
      </c>
      <c r="F87" s="2" t="s">
        <v>120</v>
      </c>
      <c r="G87" s="2" t="s">
        <v>21</v>
      </c>
      <c r="H87" s="2">
        <v>1</v>
      </c>
      <c r="I87" s="2">
        <v>89.99</v>
      </c>
      <c r="J87" s="2" t="s">
        <v>28</v>
      </c>
      <c r="K87" s="2" t="s">
        <v>42</v>
      </c>
      <c r="L87" s="2" t="s">
        <v>38</v>
      </c>
      <c r="M87" s="7">
        <v>45393</v>
      </c>
      <c r="N87" s="2">
        <v>89.99</v>
      </c>
    </row>
    <row r="88" spans="1:14" ht="15.75" customHeight="1" x14ac:dyDescent="0.3">
      <c r="A88" s="2" t="s">
        <v>217</v>
      </c>
      <c r="B88" s="7">
        <v>45515</v>
      </c>
      <c r="C88" s="2" t="s">
        <v>88</v>
      </c>
      <c r="D88" s="2" t="s">
        <v>89</v>
      </c>
      <c r="E88" s="2" t="s">
        <v>107</v>
      </c>
      <c r="F88" s="2" t="s">
        <v>108</v>
      </c>
      <c r="G88" s="2" t="s">
        <v>48</v>
      </c>
      <c r="H88" s="2">
        <v>5</v>
      </c>
      <c r="I88" s="2">
        <v>299.99</v>
      </c>
      <c r="J88" s="2" t="s">
        <v>28</v>
      </c>
      <c r="K88" s="2" t="s">
        <v>42</v>
      </c>
      <c r="L88" s="2" t="s">
        <v>24</v>
      </c>
      <c r="M88" s="7">
        <v>44965</v>
      </c>
      <c r="N88" s="2">
        <v>1499.95</v>
      </c>
    </row>
    <row r="89" spans="1:14" ht="15.75" customHeight="1" x14ac:dyDescent="0.3">
      <c r="A89" s="2" t="s">
        <v>218</v>
      </c>
      <c r="B89" s="7">
        <v>45517</v>
      </c>
      <c r="C89" s="2" t="s">
        <v>184</v>
      </c>
      <c r="D89" s="2" t="s">
        <v>185</v>
      </c>
      <c r="E89" s="2" t="s">
        <v>54</v>
      </c>
      <c r="F89" s="2" t="s">
        <v>55</v>
      </c>
      <c r="G89" s="2" t="s">
        <v>21</v>
      </c>
      <c r="H89" s="2">
        <v>4</v>
      </c>
      <c r="I89" s="2">
        <v>149.99</v>
      </c>
      <c r="J89" s="2" t="s">
        <v>59</v>
      </c>
      <c r="K89" s="2" t="s">
        <v>37</v>
      </c>
      <c r="L89" s="2" t="s">
        <v>29</v>
      </c>
      <c r="M89" s="7">
        <v>44820</v>
      </c>
      <c r="N89" s="2">
        <v>599.96</v>
      </c>
    </row>
    <row r="90" spans="1:14" ht="15.75" customHeight="1" x14ac:dyDescent="0.3">
      <c r="A90" s="2" t="s">
        <v>219</v>
      </c>
      <c r="B90" s="7">
        <v>45517</v>
      </c>
      <c r="C90" s="2" t="s">
        <v>187</v>
      </c>
      <c r="D90" s="2" t="s">
        <v>188</v>
      </c>
      <c r="E90" s="2" t="s">
        <v>19</v>
      </c>
      <c r="F90" s="2" t="s">
        <v>20</v>
      </c>
      <c r="G90" s="2" t="s">
        <v>21</v>
      </c>
      <c r="H90" s="2">
        <v>5</v>
      </c>
      <c r="I90" s="2">
        <v>249.99</v>
      </c>
      <c r="J90" s="2" t="s">
        <v>36</v>
      </c>
      <c r="K90" s="2" t="s">
        <v>65</v>
      </c>
      <c r="L90" s="2" t="s">
        <v>29</v>
      </c>
      <c r="M90" s="7">
        <v>44782</v>
      </c>
      <c r="N90" s="2">
        <v>1249.95</v>
      </c>
    </row>
    <row r="91" spans="1:14" ht="15.75" customHeight="1" x14ac:dyDescent="0.3">
      <c r="A91" s="2" t="s">
        <v>220</v>
      </c>
      <c r="B91" s="7">
        <v>45517</v>
      </c>
      <c r="C91" s="2" t="s">
        <v>67</v>
      </c>
      <c r="D91" s="2" t="s">
        <v>68</v>
      </c>
      <c r="E91" s="2" t="s">
        <v>19</v>
      </c>
      <c r="F91" s="2" t="s">
        <v>20</v>
      </c>
      <c r="G91" s="2" t="s">
        <v>21</v>
      </c>
      <c r="H91" s="2">
        <v>3</v>
      </c>
      <c r="I91" s="2">
        <v>249.99</v>
      </c>
      <c r="J91" s="2" t="s">
        <v>36</v>
      </c>
      <c r="K91" s="2" t="s">
        <v>42</v>
      </c>
      <c r="L91" s="2" t="s">
        <v>29</v>
      </c>
      <c r="M91" s="7">
        <v>44465</v>
      </c>
      <c r="N91" s="2">
        <v>749.97</v>
      </c>
    </row>
    <row r="92" spans="1:14" ht="15.75" customHeight="1" x14ac:dyDescent="0.3">
      <c r="A92" s="2" t="s">
        <v>221</v>
      </c>
      <c r="B92" s="7">
        <v>45517</v>
      </c>
      <c r="C92" s="2" t="s">
        <v>40</v>
      </c>
      <c r="D92" s="2" t="s">
        <v>41</v>
      </c>
      <c r="E92" s="2" t="s">
        <v>128</v>
      </c>
      <c r="F92" s="2" t="s">
        <v>129</v>
      </c>
      <c r="G92" s="2" t="s">
        <v>48</v>
      </c>
      <c r="H92" s="2">
        <v>4</v>
      </c>
      <c r="I92" s="2">
        <v>199.99</v>
      </c>
      <c r="J92" s="2" t="s">
        <v>22</v>
      </c>
      <c r="K92" s="2" t="s">
        <v>42</v>
      </c>
      <c r="L92" s="2" t="s">
        <v>38</v>
      </c>
      <c r="M92" s="7">
        <v>44458</v>
      </c>
      <c r="N92" s="2">
        <v>799.96</v>
      </c>
    </row>
    <row r="93" spans="1:14" ht="15.75" customHeight="1" x14ac:dyDescent="0.3">
      <c r="A93" s="2" t="s">
        <v>222</v>
      </c>
      <c r="B93" s="7">
        <v>45519</v>
      </c>
      <c r="C93" s="2" t="s">
        <v>160</v>
      </c>
      <c r="D93" s="2" t="s">
        <v>161</v>
      </c>
      <c r="E93" s="2" t="s">
        <v>128</v>
      </c>
      <c r="F93" s="2" t="s">
        <v>129</v>
      </c>
      <c r="G93" s="2" t="s">
        <v>48</v>
      </c>
      <c r="H93" s="2">
        <v>5</v>
      </c>
      <c r="I93" s="2">
        <v>199.99</v>
      </c>
      <c r="J93" s="2" t="s">
        <v>22</v>
      </c>
      <c r="K93" s="2" t="s">
        <v>42</v>
      </c>
      <c r="L93" s="2" t="s">
        <v>29</v>
      </c>
      <c r="M93" s="7">
        <v>44991</v>
      </c>
      <c r="N93" s="2">
        <v>999.95</v>
      </c>
    </row>
    <row r="94" spans="1:14" ht="15.75" customHeight="1" x14ac:dyDescent="0.3">
      <c r="A94" s="2" t="s">
        <v>223</v>
      </c>
      <c r="B94" s="7">
        <v>45522</v>
      </c>
      <c r="C94" s="2" t="s">
        <v>88</v>
      </c>
      <c r="D94" s="2" t="s">
        <v>89</v>
      </c>
      <c r="E94" s="2" t="s">
        <v>119</v>
      </c>
      <c r="F94" s="2" t="s">
        <v>120</v>
      </c>
      <c r="G94" s="2" t="s">
        <v>21</v>
      </c>
      <c r="H94" s="2">
        <v>2</v>
      </c>
      <c r="I94" s="2">
        <v>89.99</v>
      </c>
      <c r="J94" s="2" t="s">
        <v>22</v>
      </c>
      <c r="K94" s="2" t="s">
        <v>65</v>
      </c>
      <c r="L94" s="2" t="s">
        <v>29</v>
      </c>
      <c r="M94" s="7">
        <v>44972</v>
      </c>
      <c r="N94" s="2">
        <v>179.98</v>
      </c>
    </row>
    <row r="95" spans="1:14" ht="15.75" customHeight="1" x14ac:dyDescent="0.3">
      <c r="A95" s="2" t="s">
        <v>224</v>
      </c>
      <c r="B95" s="7">
        <v>45523</v>
      </c>
      <c r="C95" s="2" t="s">
        <v>198</v>
      </c>
      <c r="D95" s="2" t="s">
        <v>199</v>
      </c>
      <c r="E95" s="2" t="s">
        <v>63</v>
      </c>
      <c r="F95" s="2" t="s">
        <v>64</v>
      </c>
      <c r="G95" s="2" t="s">
        <v>21</v>
      </c>
      <c r="H95" s="2">
        <v>5</v>
      </c>
      <c r="I95" s="2">
        <v>899.99</v>
      </c>
      <c r="J95" s="2" t="s">
        <v>59</v>
      </c>
      <c r="K95" s="2" t="s">
        <v>65</v>
      </c>
      <c r="L95" s="2" t="s">
        <v>24</v>
      </c>
      <c r="M95" s="7">
        <v>44526</v>
      </c>
      <c r="N95" s="2">
        <v>4499.95</v>
      </c>
    </row>
    <row r="96" spans="1:14" ht="15.75" customHeight="1" x14ac:dyDescent="0.3">
      <c r="A96" s="2" t="s">
        <v>225</v>
      </c>
      <c r="B96" s="7">
        <v>45523</v>
      </c>
      <c r="C96" s="2" t="s">
        <v>110</v>
      </c>
      <c r="D96" s="2" t="s">
        <v>111</v>
      </c>
      <c r="E96" s="2" t="s">
        <v>54</v>
      </c>
      <c r="F96" s="2" t="s">
        <v>55</v>
      </c>
      <c r="G96" s="2" t="s">
        <v>21</v>
      </c>
      <c r="H96" s="2">
        <v>3</v>
      </c>
      <c r="I96" s="2">
        <v>149.99</v>
      </c>
      <c r="J96" s="2" t="s">
        <v>36</v>
      </c>
      <c r="K96" s="2" t="s">
        <v>65</v>
      </c>
      <c r="L96" s="2" t="s">
        <v>24</v>
      </c>
      <c r="M96" s="7">
        <v>44574</v>
      </c>
      <c r="N96" s="2">
        <v>449.97</v>
      </c>
    </row>
    <row r="97" spans="1:14" ht="15.75" customHeight="1" x14ac:dyDescent="0.3">
      <c r="A97" s="2" t="s">
        <v>226</v>
      </c>
      <c r="B97" s="7">
        <v>45526</v>
      </c>
      <c r="C97" s="2" t="s">
        <v>104</v>
      </c>
      <c r="D97" s="2" t="s">
        <v>105</v>
      </c>
      <c r="E97" s="2" t="s">
        <v>46</v>
      </c>
      <c r="F97" s="2" t="s">
        <v>47</v>
      </c>
      <c r="G97" s="2" t="s">
        <v>48</v>
      </c>
      <c r="H97" s="2">
        <v>5</v>
      </c>
      <c r="I97" s="2">
        <v>149.99</v>
      </c>
      <c r="J97" s="2" t="s">
        <v>28</v>
      </c>
      <c r="K97" s="2" t="s">
        <v>23</v>
      </c>
      <c r="L97" s="2" t="s">
        <v>24</v>
      </c>
      <c r="M97" s="7">
        <v>45310</v>
      </c>
      <c r="N97" s="2">
        <v>749.95</v>
      </c>
    </row>
    <row r="98" spans="1:14" ht="15.75" customHeight="1" x14ac:dyDescent="0.3">
      <c r="A98" s="2" t="s">
        <v>227</v>
      </c>
      <c r="B98" s="7">
        <v>45528</v>
      </c>
      <c r="C98" s="2" t="s">
        <v>228</v>
      </c>
      <c r="D98" s="2" t="s">
        <v>229</v>
      </c>
      <c r="E98" s="2" t="s">
        <v>116</v>
      </c>
      <c r="F98" s="2" t="s">
        <v>117</v>
      </c>
      <c r="G98" s="2" t="s">
        <v>35</v>
      </c>
      <c r="H98" s="2">
        <v>3</v>
      </c>
      <c r="I98" s="2">
        <v>79.989999999999995</v>
      </c>
      <c r="J98" s="2" t="s">
        <v>22</v>
      </c>
      <c r="K98" s="2" t="s">
        <v>23</v>
      </c>
      <c r="L98" s="2" t="s">
        <v>29</v>
      </c>
      <c r="M98" s="7">
        <v>44779</v>
      </c>
      <c r="N98" s="2">
        <v>239.97</v>
      </c>
    </row>
    <row r="99" spans="1:14" ht="15.75" customHeight="1" x14ac:dyDescent="0.3">
      <c r="A99" s="2" t="s">
        <v>230</v>
      </c>
      <c r="B99" s="7">
        <v>45528</v>
      </c>
      <c r="C99" s="2" t="s">
        <v>146</v>
      </c>
      <c r="D99" s="2" t="s">
        <v>147</v>
      </c>
      <c r="E99" s="2" t="s">
        <v>19</v>
      </c>
      <c r="F99" s="2" t="s">
        <v>20</v>
      </c>
      <c r="G99" s="2" t="s">
        <v>21</v>
      </c>
      <c r="H99" s="2">
        <v>2</v>
      </c>
      <c r="I99" s="2">
        <v>249.99</v>
      </c>
      <c r="J99" s="2" t="s">
        <v>22</v>
      </c>
      <c r="K99" s="2" t="s">
        <v>37</v>
      </c>
      <c r="L99" s="2" t="s">
        <v>38</v>
      </c>
      <c r="M99" s="7">
        <v>44572</v>
      </c>
      <c r="N99" s="2">
        <v>499.98</v>
      </c>
    </row>
    <row r="100" spans="1:14" ht="15.75" customHeight="1" x14ac:dyDescent="0.3">
      <c r="A100" s="2" t="s">
        <v>231</v>
      </c>
      <c r="B100" s="7">
        <v>45532</v>
      </c>
      <c r="C100" s="2" t="s">
        <v>198</v>
      </c>
      <c r="D100" s="2" t="s">
        <v>199</v>
      </c>
      <c r="E100" s="2" t="s">
        <v>82</v>
      </c>
      <c r="F100" s="2" t="s">
        <v>83</v>
      </c>
      <c r="G100" s="2" t="s">
        <v>21</v>
      </c>
      <c r="H100" s="2">
        <v>1</v>
      </c>
      <c r="I100" s="2">
        <v>699.99</v>
      </c>
      <c r="J100" s="2" t="s">
        <v>22</v>
      </c>
      <c r="K100" s="2" t="s">
        <v>23</v>
      </c>
      <c r="L100" s="2" t="s">
        <v>29</v>
      </c>
      <c r="M100" s="7">
        <v>44497</v>
      </c>
      <c r="N100" s="2">
        <v>699.99</v>
      </c>
    </row>
    <row r="101" spans="1:14" ht="15.75" customHeight="1" x14ac:dyDescent="0.3">
      <c r="A101" s="2" t="s">
        <v>232</v>
      </c>
      <c r="B101" s="7">
        <v>45532</v>
      </c>
      <c r="C101" s="2" t="s">
        <v>233</v>
      </c>
      <c r="D101" s="2" t="s">
        <v>234</v>
      </c>
      <c r="E101" s="2" t="s">
        <v>54</v>
      </c>
      <c r="F101" s="2" t="s">
        <v>55</v>
      </c>
      <c r="G101" s="2" t="s">
        <v>21</v>
      </c>
      <c r="H101" s="2">
        <v>3</v>
      </c>
      <c r="I101" s="2">
        <v>149.99</v>
      </c>
      <c r="J101" s="2" t="s">
        <v>22</v>
      </c>
      <c r="K101" s="2" t="s">
        <v>52</v>
      </c>
      <c r="L101" s="2" t="s">
        <v>29</v>
      </c>
      <c r="M101" s="7">
        <v>45212</v>
      </c>
      <c r="N101" s="2">
        <v>449.97</v>
      </c>
    </row>
    <row r="102" spans="1:14" ht="15.75" customHeight="1" x14ac:dyDescent="0.3">
      <c r="A102" s="2" t="s">
        <v>235</v>
      </c>
      <c r="B102" s="7">
        <v>45534</v>
      </c>
      <c r="C102" s="2" t="s">
        <v>236</v>
      </c>
      <c r="D102" s="2" t="s">
        <v>237</v>
      </c>
      <c r="E102" s="2" t="s">
        <v>82</v>
      </c>
      <c r="F102" s="2" t="s">
        <v>83</v>
      </c>
      <c r="G102" s="2" t="s">
        <v>21</v>
      </c>
      <c r="H102" s="2">
        <v>2</v>
      </c>
      <c r="I102" s="2">
        <v>699.99</v>
      </c>
      <c r="J102" s="2" t="s">
        <v>28</v>
      </c>
      <c r="K102" s="2" t="s">
        <v>42</v>
      </c>
      <c r="L102" s="2" t="s">
        <v>29</v>
      </c>
      <c r="M102" s="7">
        <v>44421</v>
      </c>
      <c r="N102" s="2">
        <v>1399.98</v>
      </c>
    </row>
    <row r="103" spans="1:14" ht="15.75" customHeight="1" x14ac:dyDescent="0.3">
      <c r="A103" s="2" t="s">
        <v>238</v>
      </c>
      <c r="B103" s="7">
        <v>45537</v>
      </c>
      <c r="C103" s="2" t="s">
        <v>233</v>
      </c>
      <c r="D103" s="2" t="s">
        <v>234</v>
      </c>
      <c r="E103" s="2" t="s">
        <v>19</v>
      </c>
      <c r="F103" s="2" t="s">
        <v>20</v>
      </c>
      <c r="G103" s="2" t="s">
        <v>21</v>
      </c>
      <c r="H103" s="2">
        <v>1</v>
      </c>
      <c r="I103" s="2">
        <v>249.99</v>
      </c>
      <c r="J103" s="2" t="s">
        <v>28</v>
      </c>
      <c r="K103" s="2" t="s">
        <v>52</v>
      </c>
      <c r="L103" s="2" t="s">
        <v>29</v>
      </c>
      <c r="M103" s="7">
        <v>44685</v>
      </c>
      <c r="N103" s="2">
        <v>249.99</v>
      </c>
    </row>
    <row r="104" spans="1:14" ht="15.75" customHeight="1" x14ac:dyDescent="0.3">
      <c r="A104" s="2" t="s">
        <v>239</v>
      </c>
      <c r="B104" s="7">
        <v>45537</v>
      </c>
      <c r="C104" s="2" t="s">
        <v>17</v>
      </c>
      <c r="D104" s="2" t="s">
        <v>18</v>
      </c>
      <c r="E104" s="2" t="s">
        <v>19</v>
      </c>
      <c r="F104" s="2" t="s">
        <v>20</v>
      </c>
      <c r="G104" s="2" t="s">
        <v>21</v>
      </c>
      <c r="H104" s="2">
        <v>1</v>
      </c>
      <c r="I104" s="2">
        <v>249.99</v>
      </c>
      <c r="J104" s="2" t="s">
        <v>59</v>
      </c>
      <c r="K104" s="2" t="s">
        <v>42</v>
      </c>
      <c r="L104" s="2" t="s">
        <v>29</v>
      </c>
      <c r="M104" s="7">
        <v>45332</v>
      </c>
      <c r="N104" s="2">
        <v>249.99</v>
      </c>
    </row>
    <row r="105" spans="1:14" ht="15.75" customHeight="1" x14ac:dyDescent="0.3">
      <c r="A105" s="2" t="s">
        <v>240</v>
      </c>
      <c r="B105" s="7">
        <v>45538</v>
      </c>
      <c r="C105" s="2" t="s">
        <v>228</v>
      </c>
      <c r="D105" s="2" t="s">
        <v>229</v>
      </c>
      <c r="E105" s="2" t="s">
        <v>82</v>
      </c>
      <c r="F105" s="2" t="s">
        <v>83</v>
      </c>
      <c r="G105" s="2" t="s">
        <v>21</v>
      </c>
      <c r="H105" s="2">
        <v>2</v>
      </c>
      <c r="I105" s="2">
        <v>699.99</v>
      </c>
      <c r="J105" s="2" t="s">
        <v>59</v>
      </c>
      <c r="K105" s="2" t="s">
        <v>23</v>
      </c>
      <c r="L105" s="2" t="s">
        <v>29</v>
      </c>
      <c r="M105" s="7">
        <v>44870</v>
      </c>
      <c r="N105" s="2">
        <v>1399.98</v>
      </c>
    </row>
    <row r="106" spans="1:14" ht="15.75" customHeight="1" x14ac:dyDescent="0.3">
      <c r="A106" s="2" t="s">
        <v>241</v>
      </c>
      <c r="B106" s="7">
        <v>45541</v>
      </c>
      <c r="C106" s="2" t="s">
        <v>140</v>
      </c>
      <c r="D106" s="2" t="s">
        <v>141</v>
      </c>
      <c r="E106" s="2" t="s">
        <v>33</v>
      </c>
      <c r="F106" s="2" t="s">
        <v>34</v>
      </c>
      <c r="G106" s="2" t="s">
        <v>35</v>
      </c>
      <c r="H106" s="2">
        <v>3</v>
      </c>
      <c r="I106" s="2">
        <v>59.99</v>
      </c>
      <c r="J106" s="2" t="s">
        <v>28</v>
      </c>
      <c r="K106" s="2" t="s">
        <v>23</v>
      </c>
      <c r="L106" s="2" t="s">
        <v>29</v>
      </c>
      <c r="M106" s="7">
        <v>44717</v>
      </c>
      <c r="N106" s="2">
        <v>179.97</v>
      </c>
    </row>
    <row r="107" spans="1:14" ht="15.75" customHeight="1" x14ac:dyDescent="0.3">
      <c r="A107" s="2" t="s">
        <v>242</v>
      </c>
      <c r="B107" s="7">
        <v>45544</v>
      </c>
      <c r="C107" s="2" t="s">
        <v>134</v>
      </c>
      <c r="D107" s="2" t="s">
        <v>135</v>
      </c>
      <c r="E107" s="2" t="s">
        <v>33</v>
      </c>
      <c r="F107" s="2" t="s">
        <v>34</v>
      </c>
      <c r="G107" s="2" t="s">
        <v>35</v>
      </c>
      <c r="H107" s="2">
        <v>3</v>
      </c>
      <c r="I107" s="2">
        <v>59.99</v>
      </c>
      <c r="J107" s="2" t="s">
        <v>36</v>
      </c>
      <c r="K107" s="2" t="s">
        <v>65</v>
      </c>
      <c r="L107" s="2" t="s">
        <v>38</v>
      </c>
      <c r="M107" s="7">
        <v>44748</v>
      </c>
      <c r="N107" s="2">
        <v>179.97</v>
      </c>
    </row>
    <row r="108" spans="1:14" ht="15.75" customHeight="1" x14ac:dyDescent="0.3">
      <c r="A108" s="2" t="s">
        <v>243</v>
      </c>
      <c r="B108" s="7">
        <v>45544</v>
      </c>
      <c r="C108" s="2" t="s">
        <v>143</v>
      </c>
      <c r="D108" s="2" t="s">
        <v>144</v>
      </c>
      <c r="E108" s="2" t="s">
        <v>116</v>
      </c>
      <c r="F108" s="2" t="s">
        <v>117</v>
      </c>
      <c r="G108" s="2" t="s">
        <v>35</v>
      </c>
      <c r="H108" s="2">
        <v>4</v>
      </c>
      <c r="I108" s="2">
        <v>79.989999999999995</v>
      </c>
      <c r="J108" s="2" t="s">
        <v>22</v>
      </c>
      <c r="K108" s="2" t="s">
        <v>42</v>
      </c>
      <c r="L108" s="2" t="s">
        <v>24</v>
      </c>
      <c r="M108" s="7">
        <v>44530</v>
      </c>
      <c r="N108" s="2">
        <v>319.95999999999998</v>
      </c>
    </row>
    <row r="109" spans="1:14" ht="15.75" customHeight="1" x14ac:dyDescent="0.3">
      <c r="A109" s="2" t="s">
        <v>244</v>
      </c>
      <c r="B109" s="7">
        <v>45545</v>
      </c>
      <c r="C109" s="2" t="s">
        <v>57</v>
      </c>
      <c r="D109" s="2" t="s">
        <v>58</v>
      </c>
      <c r="E109" s="2" t="s">
        <v>116</v>
      </c>
      <c r="F109" s="2" t="s">
        <v>117</v>
      </c>
      <c r="G109" s="2" t="s">
        <v>35</v>
      </c>
      <c r="H109" s="2">
        <v>1</v>
      </c>
      <c r="I109" s="2">
        <v>79.989999999999995</v>
      </c>
      <c r="J109" s="2" t="s">
        <v>22</v>
      </c>
      <c r="K109" s="2" t="s">
        <v>52</v>
      </c>
      <c r="L109" s="2" t="s">
        <v>24</v>
      </c>
      <c r="M109" s="7">
        <v>44693</v>
      </c>
      <c r="N109" s="2">
        <v>79.989999999999995</v>
      </c>
    </row>
    <row r="110" spans="1:14" ht="15.75" customHeight="1" x14ac:dyDescent="0.3">
      <c r="A110" s="2" t="s">
        <v>245</v>
      </c>
      <c r="B110" s="7">
        <v>45547</v>
      </c>
      <c r="C110" s="2" t="s">
        <v>50</v>
      </c>
      <c r="D110" s="2" t="s">
        <v>51</v>
      </c>
      <c r="E110" s="2" t="s">
        <v>107</v>
      </c>
      <c r="F110" s="2" t="s">
        <v>108</v>
      </c>
      <c r="G110" s="2" t="s">
        <v>48</v>
      </c>
      <c r="H110" s="2">
        <v>3</v>
      </c>
      <c r="I110" s="2">
        <v>299.99</v>
      </c>
      <c r="J110" s="2" t="s">
        <v>28</v>
      </c>
      <c r="K110" s="2" t="s">
        <v>23</v>
      </c>
      <c r="L110" s="2" t="s">
        <v>29</v>
      </c>
      <c r="M110" s="7">
        <v>44494</v>
      </c>
      <c r="N110" s="2">
        <v>899.97</v>
      </c>
    </row>
    <row r="111" spans="1:14" ht="15.75" customHeight="1" x14ac:dyDescent="0.3">
      <c r="A111" s="2" t="s">
        <v>246</v>
      </c>
      <c r="B111" s="7">
        <v>45548</v>
      </c>
      <c r="C111" s="2" t="s">
        <v>40</v>
      </c>
      <c r="D111" s="2" t="s">
        <v>41</v>
      </c>
      <c r="E111" s="2" t="s">
        <v>119</v>
      </c>
      <c r="F111" s="2" t="s">
        <v>120</v>
      </c>
      <c r="G111" s="2" t="s">
        <v>21</v>
      </c>
      <c r="H111" s="2">
        <v>2</v>
      </c>
      <c r="I111" s="2">
        <v>89.99</v>
      </c>
      <c r="J111" s="2" t="s">
        <v>28</v>
      </c>
      <c r="K111" s="2" t="s">
        <v>37</v>
      </c>
      <c r="L111" s="2" t="s">
        <v>29</v>
      </c>
      <c r="M111" s="7">
        <v>44641</v>
      </c>
      <c r="N111" s="2">
        <v>179.98</v>
      </c>
    </row>
    <row r="112" spans="1:14" ht="15.75" customHeight="1" x14ac:dyDescent="0.3">
      <c r="A112" s="2" t="s">
        <v>247</v>
      </c>
      <c r="B112" s="7">
        <v>45550</v>
      </c>
      <c r="C112" s="2" t="s">
        <v>248</v>
      </c>
      <c r="D112" s="2" t="s">
        <v>249</v>
      </c>
      <c r="E112" s="2" t="s">
        <v>54</v>
      </c>
      <c r="F112" s="2" t="s">
        <v>55</v>
      </c>
      <c r="G112" s="2" t="s">
        <v>21</v>
      </c>
      <c r="H112" s="2">
        <v>4</v>
      </c>
      <c r="I112" s="2">
        <v>149.99</v>
      </c>
      <c r="J112" s="2" t="s">
        <v>22</v>
      </c>
      <c r="K112" s="2" t="s">
        <v>42</v>
      </c>
      <c r="L112" s="2" t="s">
        <v>24</v>
      </c>
      <c r="M112" s="7">
        <v>44909</v>
      </c>
      <c r="N112" s="2">
        <v>599.96</v>
      </c>
    </row>
    <row r="113" spans="1:14" ht="15.75" customHeight="1" x14ac:dyDescent="0.3">
      <c r="A113" s="2" t="s">
        <v>250</v>
      </c>
      <c r="B113" s="7">
        <v>45551</v>
      </c>
      <c r="C113" s="2" t="s">
        <v>67</v>
      </c>
      <c r="D113" s="2" t="s">
        <v>68</v>
      </c>
      <c r="E113" s="2" t="s">
        <v>19</v>
      </c>
      <c r="F113" s="2" t="s">
        <v>20</v>
      </c>
      <c r="G113" s="2" t="s">
        <v>21</v>
      </c>
      <c r="H113" s="2">
        <v>2</v>
      </c>
      <c r="I113" s="2">
        <v>249.99</v>
      </c>
      <c r="J113" s="2" t="s">
        <v>36</v>
      </c>
      <c r="K113" s="2" t="s">
        <v>37</v>
      </c>
      <c r="L113" s="2" t="s">
        <v>24</v>
      </c>
      <c r="M113" s="7">
        <v>44993</v>
      </c>
      <c r="N113" s="2">
        <v>499.98</v>
      </c>
    </row>
    <row r="114" spans="1:14" ht="15.75" customHeight="1" x14ac:dyDescent="0.3">
      <c r="A114" s="2" t="s">
        <v>251</v>
      </c>
      <c r="B114" s="7">
        <v>45551</v>
      </c>
      <c r="C114" s="2" t="s">
        <v>156</v>
      </c>
      <c r="D114" s="2" t="s">
        <v>157</v>
      </c>
      <c r="E114" s="2" t="s">
        <v>128</v>
      </c>
      <c r="F114" s="2" t="s">
        <v>129</v>
      </c>
      <c r="G114" s="2" t="s">
        <v>48</v>
      </c>
      <c r="H114" s="2">
        <v>4</v>
      </c>
      <c r="I114" s="2">
        <v>199.99</v>
      </c>
      <c r="J114" s="2" t="s">
        <v>59</v>
      </c>
      <c r="K114" s="2" t="s">
        <v>65</v>
      </c>
      <c r="L114" s="2" t="s">
        <v>24</v>
      </c>
      <c r="M114" s="7">
        <v>44458</v>
      </c>
      <c r="N114" s="2">
        <v>799.96</v>
      </c>
    </row>
    <row r="115" spans="1:14" ht="15.75" customHeight="1" x14ac:dyDescent="0.3">
      <c r="A115" s="2" t="s">
        <v>252</v>
      </c>
      <c r="B115" s="7">
        <v>45554</v>
      </c>
      <c r="C115" s="2" t="s">
        <v>149</v>
      </c>
      <c r="D115" s="2" t="s">
        <v>150</v>
      </c>
      <c r="E115" s="2" t="s">
        <v>119</v>
      </c>
      <c r="F115" s="2" t="s">
        <v>120</v>
      </c>
      <c r="G115" s="2" t="s">
        <v>21</v>
      </c>
      <c r="H115" s="2">
        <v>5</v>
      </c>
      <c r="I115" s="2">
        <v>89.99</v>
      </c>
      <c r="J115" s="2" t="s">
        <v>28</v>
      </c>
      <c r="K115" s="2" t="s">
        <v>65</v>
      </c>
      <c r="L115" s="2" t="s">
        <v>29</v>
      </c>
      <c r="M115" s="7">
        <v>44446</v>
      </c>
      <c r="N115" s="2">
        <v>449.95</v>
      </c>
    </row>
    <row r="116" spans="1:14" ht="15.75" customHeight="1" x14ac:dyDescent="0.3">
      <c r="A116" s="2" t="s">
        <v>253</v>
      </c>
      <c r="B116" s="7">
        <v>45554</v>
      </c>
      <c r="C116" s="2" t="s">
        <v>254</v>
      </c>
      <c r="D116" s="2" t="s">
        <v>255</v>
      </c>
      <c r="E116" s="2" t="s">
        <v>54</v>
      </c>
      <c r="F116" s="2" t="s">
        <v>55</v>
      </c>
      <c r="G116" s="2" t="s">
        <v>21</v>
      </c>
      <c r="H116" s="2">
        <v>1</v>
      </c>
      <c r="I116" s="2">
        <v>149.99</v>
      </c>
      <c r="J116" s="2" t="s">
        <v>36</v>
      </c>
      <c r="K116" s="2" t="s">
        <v>65</v>
      </c>
      <c r="L116" s="2" t="s">
        <v>38</v>
      </c>
      <c r="M116" s="7">
        <v>44482</v>
      </c>
      <c r="N116" s="2">
        <v>149.99</v>
      </c>
    </row>
    <row r="117" spans="1:14" ht="15.75" customHeight="1" x14ac:dyDescent="0.3">
      <c r="A117" s="2" t="s">
        <v>256</v>
      </c>
      <c r="B117" s="7">
        <v>45554</v>
      </c>
      <c r="C117" s="2" t="s">
        <v>74</v>
      </c>
      <c r="D117" s="2" t="s">
        <v>75</v>
      </c>
      <c r="E117" s="2" t="s">
        <v>82</v>
      </c>
      <c r="F117" s="2" t="s">
        <v>83</v>
      </c>
      <c r="G117" s="2" t="s">
        <v>21</v>
      </c>
      <c r="H117" s="2">
        <v>4</v>
      </c>
      <c r="I117" s="2">
        <v>699.99</v>
      </c>
      <c r="J117" s="2" t="s">
        <v>36</v>
      </c>
      <c r="K117" s="2" t="s">
        <v>37</v>
      </c>
      <c r="L117" s="2" t="s">
        <v>24</v>
      </c>
      <c r="M117" s="7">
        <v>44618</v>
      </c>
      <c r="N117" s="2">
        <v>2799.96</v>
      </c>
    </row>
    <row r="118" spans="1:14" ht="15.75" customHeight="1" x14ac:dyDescent="0.3">
      <c r="A118" s="2" t="s">
        <v>257</v>
      </c>
      <c r="B118" s="7">
        <v>45559</v>
      </c>
      <c r="C118" s="2" t="s">
        <v>236</v>
      </c>
      <c r="D118" s="2" t="s">
        <v>237</v>
      </c>
      <c r="E118" s="2" t="s">
        <v>63</v>
      </c>
      <c r="F118" s="2" t="s">
        <v>64</v>
      </c>
      <c r="G118" s="2" t="s">
        <v>21</v>
      </c>
      <c r="H118" s="2">
        <v>3</v>
      </c>
      <c r="I118" s="2">
        <v>899.99</v>
      </c>
      <c r="J118" s="2" t="s">
        <v>28</v>
      </c>
      <c r="K118" s="2" t="s">
        <v>42</v>
      </c>
      <c r="L118" s="2" t="s">
        <v>38</v>
      </c>
      <c r="M118" s="7">
        <v>45157</v>
      </c>
      <c r="N118" s="2">
        <v>2699.97</v>
      </c>
    </row>
    <row r="119" spans="1:14" ht="15.75" customHeight="1" x14ac:dyDescent="0.3">
      <c r="A119" s="2" t="s">
        <v>258</v>
      </c>
      <c r="B119" s="7">
        <v>45560</v>
      </c>
      <c r="C119" s="2" t="s">
        <v>114</v>
      </c>
      <c r="D119" s="2" t="s">
        <v>115</v>
      </c>
      <c r="E119" s="2" t="s">
        <v>46</v>
      </c>
      <c r="F119" s="2" t="s">
        <v>47</v>
      </c>
      <c r="G119" s="2" t="s">
        <v>48</v>
      </c>
      <c r="H119" s="2">
        <v>3</v>
      </c>
      <c r="I119" s="2">
        <v>149.99</v>
      </c>
      <c r="J119" s="2" t="s">
        <v>36</v>
      </c>
      <c r="K119" s="2" t="s">
        <v>65</v>
      </c>
      <c r="L119" s="2" t="s">
        <v>24</v>
      </c>
      <c r="M119" s="7">
        <v>44886</v>
      </c>
      <c r="N119" s="2">
        <v>449.97</v>
      </c>
    </row>
    <row r="120" spans="1:14" ht="15.75" customHeight="1" x14ac:dyDescent="0.3">
      <c r="A120" s="2" t="s">
        <v>259</v>
      </c>
      <c r="B120" s="7">
        <v>45563</v>
      </c>
      <c r="C120" s="2" t="s">
        <v>101</v>
      </c>
      <c r="D120" s="2" t="s">
        <v>102</v>
      </c>
      <c r="E120" s="2" t="s">
        <v>107</v>
      </c>
      <c r="F120" s="2" t="s">
        <v>108</v>
      </c>
      <c r="G120" s="2" t="s">
        <v>48</v>
      </c>
      <c r="H120" s="2">
        <v>2</v>
      </c>
      <c r="I120" s="2">
        <v>299.99</v>
      </c>
      <c r="J120" s="2" t="s">
        <v>59</v>
      </c>
      <c r="K120" s="2" t="s">
        <v>23</v>
      </c>
      <c r="L120" s="2" t="s">
        <v>24</v>
      </c>
      <c r="M120" s="7">
        <v>44569</v>
      </c>
      <c r="N120" s="2">
        <v>599.98</v>
      </c>
    </row>
    <row r="121" spans="1:14" ht="15.75" customHeight="1" x14ac:dyDescent="0.3">
      <c r="A121" s="2" t="s">
        <v>260</v>
      </c>
      <c r="B121" s="7">
        <v>45564</v>
      </c>
      <c r="C121" s="2" t="s">
        <v>261</v>
      </c>
      <c r="D121" s="2" t="s">
        <v>262</v>
      </c>
      <c r="E121" s="2" t="s">
        <v>128</v>
      </c>
      <c r="F121" s="2" t="s">
        <v>129</v>
      </c>
      <c r="G121" s="2" t="s">
        <v>48</v>
      </c>
      <c r="H121" s="2">
        <v>1</v>
      </c>
      <c r="I121" s="2">
        <v>199.99</v>
      </c>
      <c r="J121" s="2" t="s">
        <v>59</v>
      </c>
      <c r="K121" s="2" t="s">
        <v>65</v>
      </c>
      <c r="L121" s="2" t="s">
        <v>38</v>
      </c>
      <c r="M121" s="7">
        <v>44953</v>
      </c>
      <c r="N121" s="2">
        <v>199.99</v>
      </c>
    </row>
    <row r="122" spans="1:14" ht="15.75" customHeight="1" x14ac:dyDescent="0.3">
      <c r="A122" s="2" t="s">
        <v>263</v>
      </c>
      <c r="B122" s="7">
        <v>45566</v>
      </c>
      <c r="C122" s="2" t="s">
        <v>44</v>
      </c>
      <c r="D122" s="2" t="s">
        <v>45</v>
      </c>
      <c r="E122" s="2" t="s">
        <v>107</v>
      </c>
      <c r="F122" s="2" t="s">
        <v>108</v>
      </c>
      <c r="G122" s="2" t="s">
        <v>48</v>
      </c>
      <c r="H122" s="2">
        <v>4</v>
      </c>
      <c r="I122" s="2">
        <v>299.99</v>
      </c>
      <c r="J122" s="2" t="s">
        <v>22</v>
      </c>
      <c r="K122" s="2" t="s">
        <v>23</v>
      </c>
      <c r="L122" s="2" t="s">
        <v>29</v>
      </c>
      <c r="M122" s="7">
        <v>44460</v>
      </c>
      <c r="N122" s="2">
        <v>1199.96</v>
      </c>
    </row>
    <row r="123" spans="1:14" ht="15.75" customHeight="1" x14ac:dyDescent="0.3">
      <c r="A123" s="2" t="s">
        <v>264</v>
      </c>
      <c r="B123" s="7">
        <v>45572</v>
      </c>
      <c r="C123" s="2" t="s">
        <v>91</v>
      </c>
      <c r="D123" s="2" t="s">
        <v>92</v>
      </c>
      <c r="E123" s="2" t="s">
        <v>33</v>
      </c>
      <c r="F123" s="2" t="s">
        <v>34</v>
      </c>
      <c r="G123" s="2" t="s">
        <v>35</v>
      </c>
      <c r="H123" s="2">
        <v>2</v>
      </c>
      <c r="I123" s="2">
        <v>59.99</v>
      </c>
      <c r="J123" s="2" t="s">
        <v>28</v>
      </c>
      <c r="K123" s="2" t="s">
        <v>23</v>
      </c>
      <c r="L123" s="2" t="s">
        <v>24</v>
      </c>
      <c r="M123" s="7">
        <v>44579</v>
      </c>
      <c r="N123" s="2">
        <v>119.98</v>
      </c>
    </row>
    <row r="124" spans="1:14" ht="15.75" customHeight="1" x14ac:dyDescent="0.3">
      <c r="A124" s="2" t="s">
        <v>265</v>
      </c>
      <c r="B124" s="7">
        <v>45572</v>
      </c>
      <c r="C124" s="2" t="s">
        <v>236</v>
      </c>
      <c r="D124" s="2" t="s">
        <v>237</v>
      </c>
      <c r="E124" s="2" t="s">
        <v>54</v>
      </c>
      <c r="F124" s="2" t="s">
        <v>55</v>
      </c>
      <c r="G124" s="2" t="s">
        <v>21</v>
      </c>
      <c r="H124" s="2">
        <v>4</v>
      </c>
      <c r="I124" s="2">
        <v>149.99</v>
      </c>
      <c r="J124" s="2" t="s">
        <v>28</v>
      </c>
      <c r="K124" s="2" t="s">
        <v>42</v>
      </c>
      <c r="L124" s="2" t="s">
        <v>29</v>
      </c>
      <c r="M124" s="7">
        <v>45076</v>
      </c>
      <c r="N124" s="2">
        <v>599.96</v>
      </c>
    </row>
    <row r="125" spans="1:14" ht="15.75" customHeight="1" x14ac:dyDescent="0.3">
      <c r="A125" s="2" t="s">
        <v>266</v>
      </c>
      <c r="B125" s="7">
        <v>45573</v>
      </c>
      <c r="C125" s="2" t="s">
        <v>213</v>
      </c>
      <c r="D125" s="2" t="s">
        <v>214</v>
      </c>
      <c r="E125" s="2" t="s">
        <v>82</v>
      </c>
      <c r="F125" s="2" t="s">
        <v>83</v>
      </c>
      <c r="G125" s="2" t="s">
        <v>21</v>
      </c>
      <c r="H125" s="2">
        <v>2</v>
      </c>
      <c r="I125" s="2">
        <v>699.99</v>
      </c>
      <c r="J125" s="2" t="s">
        <v>59</v>
      </c>
      <c r="K125" s="2" t="s">
        <v>65</v>
      </c>
      <c r="L125" s="2" t="s">
        <v>29</v>
      </c>
      <c r="M125" s="7">
        <v>45274</v>
      </c>
      <c r="N125" s="2">
        <v>1399.98</v>
      </c>
    </row>
    <row r="126" spans="1:14" ht="15.75" customHeight="1" x14ac:dyDescent="0.3">
      <c r="A126" s="2" t="s">
        <v>267</v>
      </c>
      <c r="B126" s="7">
        <v>45573</v>
      </c>
      <c r="C126" s="2" t="s">
        <v>233</v>
      </c>
      <c r="D126" s="2" t="s">
        <v>234</v>
      </c>
      <c r="E126" s="2" t="s">
        <v>46</v>
      </c>
      <c r="F126" s="2" t="s">
        <v>47</v>
      </c>
      <c r="G126" s="2" t="s">
        <v>48</v>
      </c>
      <c r="H126" s="2">
        <v>3</v>
      </c>
      <c r="I126" s="2">
        <v>149.99</v>
      </c>
      <c r="J126" s="2" t="s">
        <v>28</v>
      </c>
      <c r="K126" s="2" t="s">
        <v>37</v>
      </c>
      <c r="L126" s="2" t="s">
        <v>38</v>
      </c>
      <c r="M126" s="7">
        <v>44940</v>
      </c>
      <c r="N126" s="2">
        <v>449.97</v>
      </c>
    </row>
    <row r="127" spans="1:14" ht="15.75" customHeight="1" x14ac:dyDescent="0.3">
      <c r="A127" s="2" t="s">
        <v>268</v>
      </c>
      <c r="B127" s="7">
        <v>45576</v>
      </c>
      <c r="C127" s="2" t="s">
        <v>149</v>
      </c>
      <c r="D127" s="2" t="s">
        <v>150</v>
      </c>
      <c r="E127" s="2" t="s">
        <v>107</v>
      </c>
      <c r="F127" s="2" t="s">
        <v>108</v>
      </c>
      <c r="G127" s="2" t="s">
        <v>48</v>
      </c>
      <c r="H127" s="2">
        <v>3</v>
      </c>
      <c r="I127" s="2">
        <v>299.99</v>
      </c>
      <c r="J127" s="2" t="s">
        <v>28</v>
      </c>
      <c r="K127" s="2" t="s">
        <v>23</v>
      </c>
      <c r="L127" s="2" t="s">
        <v>38</v>
      </c>
      <c r="M127" s="7">
        <v>45174</v>
      </c>
      <c r="N127" s="2">
        <v>899.97</v>
      </c>
    </row>
    <row r="128" spans="1:14" ht="15.75" customHeight="1" x14ac:dyDescent="0.3">
      <c r="A128" s="2" t="s">
        <v>269</v>
      </c>
      <c r="B128" s="7">
        <v>45579</v>
      </c>
      <c r="C128" s="2" t="s">
        <v>85</v>
      </c>
      <c r="D128" s="2" t="s">
        <v>86</v>
      </c>
      <c r="E128" s="2" t="s">
        <v>63</v>
      </c>
      <c r="F128" s="2" t="s">
        <v>64</v>
      </c>
      <c r="G128" s="2" t="s">
        <v>21</v>
      </c>
      <c r="H128" s="2">
        <v>3</v>
      </c>
      <c r="I128" s="2">
        <v>899.99</v>
      </c>
      <c r="J128" s="2" t="s">
        <v>36</v>
      </c>
      <c r="K128" s="2" t="s">
        <v>52</v>
      </c>
      <c r="L128" s="2" t="s">
        <v>24</v>
      </c>
      <c r="M128" s="7">
        <v>45215</v>
      </c>
      <c r="N128" s="2">
        <v>2699.97</v>
      </c>
    </row>
    <row r="129" spans="1:14" ht="15.75" customHeight="1" x14ac:dyDescent="0.3">
      <c r="A129" s="2" t="s">
        <v>270</v>
      </c>
      <c r="B129" s="7">
        <v>45581</v>
      </c>
      <c r="C129" s="2" t="s">
        <v>98</v>
      </c>
      <c r="D129" s="2" t="s">
        <v>99</v>
      </c>
      <c r="E129" s="2" t="s">
        <v>82</v>
      </c>
      <c r="F129" s="2" t="s">
        <v>83</v>
      </c>
      <c r="G129" s="2" t="s">
        <v>21</v>
      </c>
      <c r="H129" s="2">
        <v>5</v>
      </c>
      <c r="I129" s="2">
        <v>699.99</v>
      </c>
      <c r="J129" s="2" t="s">
        <v>22</v>
      </c>
      <c r="K129" s="2" t="s">
        <v>65</v>
      </c>
      <c r="L129" s="2" t="s">
        <v>38</v>
      </c>
      <c r="M129" s="7">
        <v>45008</v>
      </c>
      <c r="N129" s="2">
        <v>3499.95</v>
      </c>
    </row>
    <row r="130" spans="1:14" ht="15.75" customHeight="1" x14ac:dyDescent="0.3">
      <c r="A130" s="2" t="s">
        <v>271</v>
      </c>
      <c r="B130" s="7">
        <v>45581</v>
      </c>
      <c r="C130" s="2" t="s">
        <v>173</v>
      </c>
      <c r="D130" s="2" t="s">
        <v>174</v>
      </c>
      <c r="E130" s="2" t="s">
        <v>82</v>
      </c>
      <c r="F130" s="2" t="s">
        <v>83</v>
      </c>
      <c r="G130" s="2" t="s">
        <v>21</v>
      </c>
      <c r="H130" s="2">
        <v>4</v>
      </c>
      <c r="I130" s="2">
        <v>699.99</v>
      </c>
      <c r="J130" s="2" t="s">
        <v>28</v>
      </c>
      <c r="K130" s="2" t="s">
        <v>23</v>
      </c>
      <c r="L130" s="2" t="s">
        <v>24</v>
      </c>
      <c r="M130" s="7">
        <v>45385</v>
      </c>
      <c r="N130" s="2">
        <v>2799.96</v>
      </c>
    </row>
    <row r="131" spans="1:14" ht="15.75" customHeight="1" x14ac:dyDescent="0.3">
      <c r="A131" s="2" t="s">
        <v>272</v>
      </c>
      <c r="B131" s="7">
        <v>45581</v>
      </c>
      <c r="C131" s="2" t="s">
        <v>152</v>
      </c>
      <c r="D131" s="2" t="s">
        <v>153</v>
      </c>
      <c r="E131" s="2" t="s">
        <v>63</v>
      </c>
      <c r="F131" s="2" t="s">
        <v>64</v>
      </c>
      <c r="G131" s="2" t="s">
        <v>21</v>
      </c>
      <c r="H131" s="2">
        <v>1</v>
      </c>
      <c r="I131" s="2">
        <v>899.99</v>
      </c>
      <c r="J131" s="2" t="s">
        <v>28</v>
      </c>
      <c r="K131" s="2" t="s">
        <v>65</v>
      </c>
      <c r="L131" s="2" t="s">
        <v>38</v>
      </c>
      <c r="M131" s="7">
        <v>45369</v>
      </c>
      <c r="N131" s="2">
        <v>899.99</v>
      </c>
    </row>
    <row r="132" spans="1:14" ht="15.75" customHeight="1" x14ac:dyDescent="0.3">
      <c r="A132" s="2" t="s">
        <v>273</v>
      </c>
      <c r="B132" s="7">
        <v>45583</v>
      </c>
      <c r="C132" s="2" t="s">
        <v>228</v>
      </c>
      <c r="D132" s="2" t="s">
        <v>229</v>
      </c>
      <c r="E132" s="2" t="s">
        <v>54</v>
      </c>
      <c r="F132" s="2" t="s">
        <v>55</v>
      </c>
      <c r="G132" s="2" t="s">
        <v>21</v>
      </c>
      <c r="H132" s="2">
        <v>2</v>
      </c>
      <c r="I132" s="2">
        <v>149.99</v>
      </c>
      <c r="J132" s="2" t="s">
        <v>28</v>
      </c>
      <c r="K132" s="2" t="s">
        <v>52</v>
      </c>
      <c r="L132" s="2" t="s">
        <v>24</v>
      </c>
      <c r="M132" s="7">
        <v>44916</v>
      </c>
      <c r="N132" s="2">
        <v>299.98</v>
      </c>
    </row>
    <row r="133" spans="1:14" ht="15.75" customHeight="1" x14ac:dyDescent="0.3">
      <c r="A133" s="2" t="s">
        <v>274</v>
      </c>
      <c r="B133" s="7">
        <v>45586</v>
      </c>
      <c r="C133" s="2" t="s">
        <v>228</v>
      </c>
      <c r="D133" s="2" t="s">
        <v>229</v>
      </c>
      <c r="E133" s="2" t="s">
        <v>119</v>
      </c>
      <c r="F133" s="2" t="s">
        <v>120</v>
      </c>
      <c r="G133" s="2" t="s">
        <v>21</v>
      </c>
      <c r="H133" s="2">
        <v>3</v>
      </c>
      <c r="I133" s="2">
        <v>89.99</v>
      </c>
      <c r="J133" s="2" t="s">
        <v>36</v>
      </c>
      <c r="K133" s="2" t="s">
        <v>23</v>
      </c>
      <c r="L133" s="2" t="s">
        <v>24</v>
      </c>
      <c r="M133" s="7">
        <v>44551</v>
      </c>
      <c r="N133" s="2">
        <v>269.97000000000003</v>
      </c>
    </row>
    <row r="134" spans="1:14" ht="15.75" customHeight="1" x14ac:dyDescent="0.3">
      <c r="A134" s="2" t="s">
        <v>275</v>
      </c>
      <c r="B134" s="7">
        <v>45588</v>
      </c>
      <c r="C134" s="2" t="s">
        <v>40</v>
      </c>
      <c r="D134" s="2" t="s">
        <v>41</v>
      </c>
      <c r="E134" s="2" t="s">
        <v>54</v>
      </c>
      <c r="F134" s="2" t="s">
        <v>55</v>
      </c>
      <c r="G134" s="2" t="s">
        <v>21</v>
      </c>
      <c r="H134" s="2">
        <v>2</v>
      </c>
      <c r="I134" s="2">
        <v>149.99</v>
      </c>
      <c r="J134" s="2" t="s">
        <v>36</v>
      </c>
      <c r="K134" s="2" t="s">
        <v>23</v>
      </c>
      <c r="L134" s="2" t="s">
        <v>24</v>
      </c>
      <c r="M134" s="7">
        <v>44473</v>
      </c>
      <c r="N134" s="2">
        <v>299.98</v>
      </c>
    </row>
    <row r="135" spans="1:14" ht="15.75" customHeight="1" x14ac:dyDescent="0.3">
      <c r="A135" s="2" t="s">
        <v>276</v>
      </c>
      <c r="B135" s="7">
        <v>45588</v>
      </c>
      <c r="C135" s="2" t="s">
        <v>156</v>
      </c>
      <c r="D135" s="2" t="s">
        <v>157</v>
      </c>
      <c r="E135" s="2" t="s">
        <v>82</v>
      </c>
      <c r="F135" s="2" t="s">
        <v>83</v>
      </c>
      <c r="G135" s="2" t="s">
        <v>21</v>
      </c>
      <c r="H135" s="2">
        <v>2</v>
      </c>
      <c r="I135" s="2">
        <v>699.99</v>
      </c>
      <c r="J135" s="2" t="s">
        <v>22</v>
      </c>
      <c r="K135" s="2" t="s">
        <v>23</v>
      </c>
      <c r="L135" s="2" t="s">
        <v>24</v>
      </c>
      <c r="M135" s="7">
        <v>44992</v>
      </c>
      <c r="N135" s="2">
        <v>1399.98</v>
      </c>
    </row>
    <row r="136" spans="1:14" ht="15.75" customHeight="1" x14ac:dyDescent="0.3">
      <c r="A136" s="2" t="s">
        <v>277</v>
      </c>
      <c r="B136" s="7">
        <v>45589</v>
      </c>
      <c r="C136" s="2" t="s">
        <v>160</v>
      </c>
      <c r="D136" s="2" t="s">
        <v>161</v>
      </c>
      <c r="E136" s="2" t="s">
        <v>82</v>
      </c>
      <c r="F136" s="2" t="s">
        <v>83</v>
      </c>
      <c r="G136" s="2" t="s">
        <v>21</v>
      </c>
      <c r="H136" s="2">
        <v>5</v>
      </c>
      <c r="I136" s="2">
        <v>699.99</v>
      </c>
      <c r="J136" s="2" t="s">
        <v>22</v>
      </c>
      <c r="K136" s="2" t="s">
        <v>42</v>
      </c>
      <c r="L136" s="2" t="s">
        <v>29</v>
      </c>
      <c r="M136" s="7">
        <v>44635</v>
      </c>
      <c r="N136" s="2">
        <v>3499.95</v>
      </c>
    </row>
    <row r="137" spans="1:14" ht="15.75" customHeight="1" x14ac:dyDescent="0.3">
      <c r="A137" s="2" t="s">
        <v>278</v>
      </c>
      <c r="B137" s="7">
        <v>45592</v>
      </c>
      <c r="C137" s="2" t="s">
        <v>173</v>
      </c>
      <c r="D137" s="2" t="s">
        <v>174</v>
      </c>
      <c r="E137" s="2" t="s">
        <v>119</v>
      </c>
      <c r="F137" s="2" t="s">
        <v>120</v>
      </c>
      <c r="G137" s="2" t="s">
        <v>21</v>
      </c>
      <c r="H137" s="2">
        <v>3</v>
      </c>
      <c r="I137" s="2">
        <v>89.99</v>
      </c>
      <c r="J137" s="2" t="s">
        <v>28</v>
      </c>
      <c r="K137" s="2" t="s">
        <v>42</v>
      </c>
      <c r="L137" s="2" t="s">
        <v>38</v>
      </c>
      <c r="M137" s="7">
        <v>44615</v>
      </c>
      <c r="N137" s="2">
        <v>269.97000000000003</v>
      </c>
    </row>
    <row r="138" spans="1:14" ht="15.75" customHeight="1" x14ac:dyDescent="0.3">
      <c r="A138" s="2" t="s">
        <v>279</v>
      </c>
      <c r="B138" s="7">
        <v>45597</v>
      </c>
      <c r="C138" s="2" t="s">
        <v>17</v>
      </c>
      <c r="D138" s="2" t="s">
        <v>18</v>
      </c>
      <c r="E138" s="2" t="s">
        <v>19</v>
      </c>
      <c r="F138" s="2" t="s">
        <v>20</v>
      </c>
      <c r="G138" s="2" t="s">
        <v>21</v>
      </c>
      <c r="H138" s="2">
        <v>5</v>
      </c>
      <c r="I138" s="2">
        <v>249.99</v>
      </c>
      <c r="J138" s="2" t="s">
        <v>28</v>
      </c>
      <c r="K138" s="2" t="s">
        <v>37</v>
      </c>
      <c r="L138" s="2" t="s">
        <v>38</v>
      </c>
      <c r="M138" s="7">
        <v>44881</v>
      </c>
      <c r="N138" s="2">
        <v>1249.95</v>
      </c>
    </row>
    <row r="139" spans="1:14" ht="15.75" customHeight="1" x14ac:dyDescent="0.3">
      <c r="A139" s="2" t="s">
        <v>280</v>
      </c>
      <c r="B139" s="7">
        <v>45600</v>
      </c>
      <c r="C139" s="2" t="s">
        <v>67</v>
      </c>
      <c r="D139" s="2" t="s">
        <v>68</v>
      </c>
      <c r="E139" s="2" t="s">
        <v>107</v>
      </c>
      <c r="F139" s="2" t="s">
        <v>108</v>
      </c>
      <c r="G139" s="2" t="s">
        <v>48</v>
      </c>
      <c r="H139" s="2">
        <v>3</v>
      </c>
      <c r="I139" s="2">
        <v>299.99</v>
      </c>
      <c r="J139" s="2" t="s">
        <v>28</v>
      </c>
      <c r="K139" s="2" t="s">
        <v>37</v>
      </c>
      <c r="L139" s="2" t="s">
        <v>38</v>
      </c>
      <c r="M139" s="7">
        <v>44502</v>
      </c>
      <c r="N139" s="2">
        <v>899.97</v>
      </c>
    </row>
    <row r="140" spans="1:14" ht="15.75" customHeight="1" x14ac:dyDescent="0.3">
      <c r="A140" s="2" t="s">
        <v>281</v>
      </c>
      <c r="B140" s="7">
        <v>45603</v>
      </c>
      <c r="C140" s="2" t="s">
        <v>101</v>
      </c>
      <c r="D140" s="2" t="s">
        <v>102</v>
      </c>
      <c r="E140" s="2" t="s">
        <v>119</v>
      </c>
      <c r="F140" s="2" t="s">
        <v>120</v>
      </c>
      <c r="G140" s="2" t="s">
        <v>21</v>
      </c>
      <c r="H140" s="2">
        <v>3</v>
      </c>
      <c r="I140" s="2">
        <v>89.99</v>
      </c>
      <c r="J140" s="2" t="s">
        <v>28</v>
      </c>
      <c r="K140" s="2" t="s">
        <v>42</v>
      </c>
      <c r="L140" s="2" t="s">
        <v>29</v>
      </c>
      <c r="M140" s="7">
        <v>44420</v>
      </c>
      <c r="N140" s="2">
        <v>269.97000000000003</v>
      </c>
    </row>
    <row r="141" spans="1:14" ht="15.75" customHeight="1" x14ac:dyDescent="0.3">
      <c r="A141" s="2" t="s">
        <v>282</v>
      </c>
      <c r="B141" s="7">
        <v>45604</v>
      </c>
      <c r="C141" s="2" t="s">
        <v>91</v>
      </c>
      <c r="D141" s="2" t="s">
        <v>92</v>
      </c>
      <c r="E141" s="2" t="s">
        <v>46</v>
      </c>
      <c r="F141" s="2" t="s">
        <v>47</v>
      </c>
      <c r="G141" s="2" t="s">
        <v>48</v>
      </c>
      <c r="H141" s="2">
        <v>2</v>
      </c>
      <c r="I141" s="2">
        <v>149.99</v>
      </c>
      <c r="J141" s="2" t="s">
        <v>28</v>
      </c>
      <c r="K141" s="2" t="s">
        <v>52</v>
      </c>
      <c r="L141" s="2" t="s">
        <v>29</v>
      </c>
      <c r="M141" s="7">
        <v>44848</v>
      </c>
      <c r="N141" s="2">
        <v>299.98</v>
      </c>
    </row>
    <row r="142" spans="1:14" ht="15.75" customHeight="1" x14ac:dyDescent="0.3">
      <c r="A142" s="2" t="s">
        <v>283</v>
      </c>
      <c r="B142" s="7">
        <v>45605</v>
      </c>
      <c r="C142" s="2" t="s">
        <v>187</v>
      </c>
      <c r="D142" s="2" t="s">
        <v>188</v>
      </c>
      <c r="E142" s="2" t="s">
        <v>19</v>
      </c>
      <c r="F142" s="2" t="s">
        <v>20</v>
      </c>
      <c r="G142" s="2" t="s">
        <v>21</v>
      </c>
      <c r="H142" s="2">
        <v>1</v>
      </c>
      <c r="I142" s="2">
        <v>249.99</v>
      </c>
      <c r="J142" s="2" t="s">
        <v>28</v>
      </c>
      <c r="K142" s="2" t="s">
        <v>42</v>
      </c>
      <c r="L142" s="2" t="s">
        <v>29</v>
      </c>
      <c r="M142" s="7">
        <v>44828</v>
      </c>
      <c r="N142" s="2">
        <v>249.99</v>
      </c>
    </row>
    <row r="143" spans="1:14" ht="15.75" customHeight="1" x14ac:dyDescent="0.3">
      <c r="A143" s="2" t="s">
        <v>284</v>
      </c>
      <c r="B143" s="7">
        <v>45607</v>
      </c>
      <c r="C143" s="2" t="s">
        <v>74</v>
      </c>
      <c r="D143" s="2" t="s">
        <v>75</v>
      </c>
      <c r="E143" s="2" t="s">
        <v>54</v>
      </c>
      <c r="F143" s="2" t="s">
        <v>55</v>
      </c>
      <c r="G143" s="2" t="s">
        <v>21</v>
      </c>
      <c r="H143" s="2">
        <v>3</v>
      </c>
      <c r="I143" s="2">
        <v>149.99</v>
      </c>
      <c r="J143" s="2" t="s">
        <v>22</v>
      </c>
      <c r="K143" s="2" t="s">
        <v>42</v>
      </c>
      <c r="L143" s="2" t="s">
        <v>24</v>
      </c>
      <c r="M143" s="7">
        <v>44769</v>
      </c>
      <c r="N143" s="2">
        <v>449.97</v>
      </c>
    </row>
    <row r="144" spans="1:14" ht="15.75" customHeight="1" x14ac:dyDescent="0.3">
      <c r="A144" s="2" t="s">
        <v>285</v>
      </c>
      <c r="B144" s="7">
        <v>45607</v>
      </c>
      <c r="C144" s="2" t="s">
        <v>17</v>
      </c>
      <c r="D144" s="2" t="s">
        <v>18</v>
      </c>
      <c r="E144" s="2" t="s">
        <v>33</v>
      </c>
      <c r="F144" s="2" t="s">
        <v>34</v>
      </c>
      <c r="G144" s="2" t="s">
        <v>35</v>
      </c>
      <c r="H144" s="2">
        <v>5</v>
      </c>
      <c r="I144" s="2">
        <v>59.99</v>
      </c>
      <c r="J144" s="2" t="s">
        <v>36</v>
      </c>
      <c r="K144" s="2" t="s">
        <v>52</v>
      </c>
      <c r="L144" s="2" t="s">
        <v>29</v>
      </c>
      <c r="M144" s="7">
        <v>44694</v>
      </c>
      <c r="N144" s="2">
        <v>299.95</v>
      </c>
    </row>
    <row r="145" spans="1:14" ht="15.75" customHeight="1" x14ac:dyDescent="0.3">
      <c r="A145" s="2" t="s">
        <v>286</v>
      </c>
      <c r="B145" s="7">
        <v>45607</v>
      </c>
      <c r="C145" s="2" t="s">
        <v>101</v>
      </c>
      <c r="D145" s="2" t="s">
        <v>102</v>
      </c>
      <c r="E145" s="2" t="s">
        <v>19</v>
      </c>
      <c r="F145" s="2" t="s">
        <v>20</v>
      </c>
      <c r="G145" s="2" t="s">
        <v>21</v>
      </c>
      <c r="H145" s="2">
        <v>4</v>
      </c>
      <c r="I145" s="2">
        <v>249.99</v>
      </c>
      <c r="J145" s="2" t="s">
        <v>28</v>
      </c>
      <c r="K145" s="2" t="s">
        <v>52</v>
      </c>
      <c r="L145" s="2" t="s">
        <v>38</v>
      </c>
      <c r="M145" s="7">
        <v>44659</v>
      </c>
      <c r="N145" s="2">
        <v>999.96</v>
      </c>
    </row>
    <row r="146" spans="1:14" ht="15.75" customHeight="1" x14ac:dyDescent="0.3">
      <c r="A146" s="2" t="s">
        <v>287</v>
      </c>
      <c r="B146" s="7">
        <v>45608</v>
      </c>
      <c r="C146" s="2" t="s">
        <v>156</v>
      </c>
      <c r="D146" s="2" t="s">
        <v>157</v>
      </c>
      <c r="E146" s="2" t="s">
        <v>46</v>
      </c>
      <c r="F146" s="2" t="s">
        <v>47</v>
      </c>
      <c r="G146" s="2" t="s">
        <v>48</v>
      </c>
      <c r="H146" s="2">
        <v>5</v>
      </c>
      <c r="I146" s="2">
        <v>149.99</v>
      </c>
      <c r="J146" s="2" t="s">
        <v>36</v>
      </c>
      <c r="K146" s="2" t="s">
        <v>23</v>
      </c>
      <c r="L146" s="2" t="s">
        <v>24</v>
      </c>
      <c r="M146" s="7">
        <v>44901</v>
      </c>
      <c r="N146" s="2">
        <v>749.95</v>
      </c>
    </row>
    <row r="147" spans="1:14" ht="15.75" customHeight="1" x14ac:dyDescent="0.3">
      <c r="A147" s="2" t="s">
        <v>288</v>
      </c>
      <c r="B147" s="7">
        <v>45608</v>
      </c>
      <c r="C147" s="2" t="s">
        <v>85</v>
      </c>
      <c r="D147" s="2" t="s">
        <v>86</v>
      </c>
      <c r="E147" s="2" t="s">
        <v>33</v>
      </c>
      <c r="F147" s="2" t="s">
        <v>34</v>
      </c>
      <c r="G147" s="2" t="s">
        <v>35</v>
      </c>
      <c r="H147" s="2">
        <v>3</v>
      </c>
      <c r="I147" s="2">
        <v>59.99</v>
      </c>
      <c r="J147" s="2" t="s">
        <v>59</v>
      </c>
      <c r="K147" s="2" t="s">
        <v>37</v>
      </c>
      <c r="L147" s="2" t="s">
        <v>38</v>
      </c>
      <c r="M147" s="7">
        <v>45260</v>
      </c>
      <c r="N147" s="2">
        <v>179.97</v>
      </c>
    </row>
    <row r="148" spans="1:14" ht="15.75" customHeight="1" x14ac:dyDescent="0.3">
      <c r="A148" s="2" t="s">
        <v>289</v>
      </c>
      <c r="B148" s="7">
        <v>45613</v>
      </c>
      <c r="C148" s="2" t="s">
        <v>236</v>
      </c>
      <c r="D148" s="2" t="s">
        <v>237</v>
      </c>
      <c r="E148" s="2" t="s">
        <v>46</v>
      </c>
      <c r="F148" s="2" t="s">
        <v>47</v>
      </c>
      <c r="G148" s="2" t="s">
        <v>48</v>
      </c>
      <c r="H148" s="2">
        <v>5</v>
      </c>
      <c r="I148" s="2">
        <v>149.99</v>
      </c>
      <c r="J148" s="2" t="s">
        <v>22</v>
      </c>
      <c r="K148" s="2" t="s">
        <v>42</v>
      </c>
      <c r="L148" s="2" t="s">
        <v>24</v>
      </c>
      <c r="M148" s="7">
        <v>44869</v>
      </c>
      <c r="N148" s="2">
        <v>749.95</v>
      </c>
    </row>
    <row r="149" spans="1:14" ht="15.75" customHeight="1" x14ac:dyDescent="0.3">
      <c r="A149" s="2" t="s">
        <v>290</v>
      </c>
      <c r="B149" s="7">
        <v>45613</v>
      </c>
      <c r="C149" s="2" t="s">
        <v>88</v>
      </c>
      <c r="D149" s="2" t="s">
        <v>89</v>
      </c>
      <c r="E149" s="2" t="s">
        <v>82</v>
      </c>
      <c r="F149" s="2" t="s">
        <v>83</v>
      </c>
      <c r="G149" s="2" t="s">
        <v>21</v>
      </c>
      <c r="H149" s="2">
        <v>2</v>
      </c>
      <c r="I149" s="2">
        <v>699.99</v>
      </c>
      <c r="J149" s="2" t="s">
        <v>36</v>
      </c>
      <c r="K149" s="2" t="s">
        <v>52</v>
      </c>
      <c r="L149" s="2" t="s">
        <v>38</v>
      </c>
      <c r="M149" s="7">
        <v>44770</v>
      </c>
      <c r="N149" s="2">
        <v>1399.98</v>
      </c>
    </row>
    <row r="150" spans="1:14" ht="15.75" customHeight="1" x14ac:dyDescent="0.3">
      <c r="A150" s="2" t="s">
        <v>291</v>
      </c>
      <c r="B150" s="7">
        <v>45617</v>
      </c>
      <c r="C150" s="2" t="s">
        <v>125</v>
      </c>
      <c r="D150" s="2" t="s">
        <v>126</v>
      </c>
      <c r="E150" s="2" t="s">
        <v>128</v>
      </c>
      <c r="F150" s="2" t="s">
        <v>129</v>
      </c>
      <c r="G150" s="2" t="s">
        <v>48</v>
      </c>
      <c r="H150" s="2">
        <v>4</v>
      </c>
      <c r="I150" s="2">
        <v>199.99</v>
      </c>
      <c r="J150" s="2" t="s">
        <v>59</v>
      </c>
      <c r="K150" s="2" t="s">
        <v>23</v>
      </c>
      <c r="L150" s="2" t="s">
        <v>29</v>
      </c>
      <c r="M150" s="7">
        <v>44427</v>
      </c>
      <c r="N150" s="2">
        <v>799.96</v>
      </c>
    </row>
    <row r="151" spans="1:14" ht="15.75" customHeight="1" x14ac:dyDescent="0.3">
      <c r="A151" s="2" t="s">
        <v>292</v>
      </c>
      <c r="B151" s="7">
        <v>45619</v>
      </c>
      <c r="C151" s="2" t="s">
        <v>194</v>
      </c>
      <c r="D151" s="2" t="s">
        <v>195</v>
      </c>
      <c r="E151" s="2" t="s">
        <v>33</v>
      </c>
      <c r="F151" s="2" t="s">
        <v>34</v>
      </c>
      <c r="G151" s="2" t="s">
        <v>35</v>
      </c>
      <c r="H151" s="2">
        <v>1</v>
      </c>
      <c r="I151" s="2">
        <v>59.99</v>
      </c>
      <c r="J151" s="2" t="s">
        <v>59</v>
      </c>
      <c r="K151" s="2" t="s">
        <v>52</v>
      </c>
      <c r="L151" s="2" t="s">
        <v>38</v>
      </c>
      <c r="M151" s="7">
        <v>44560</v>
      </c>
      <c r="N151" s="2">
        <v>59.99</v>
      </c>
    </row>
    <row r="152" spans="1:14" ht="15.75" customHeight="1" x14ac:dyDescent="0.3">
      <c r="A152" s="2" t="s">
        <v>293</v>
      </c>
      <c r="B152" s="7">
        <v>45619</v>
      </c>
      <c r="C152" s="2" t="s">
        <v>156</v>
      </c>
      <c r="D152" s="2" t="s">
        <v>157</v>
      </c>
      <c r="E152" s="2" t="s">
        <v>82</v>
      </c>
      <c r="F152" s="2" t="s">
        <v>83</v>
      </c>
      <c r="G152" s="2" t="s">
        <v>21</v>
      </c>
      <c r="H152" s="2">
        <v>3</v>
      </c>
      <c r="I152" s="2">
        <v>699.99</v>
      </c>
      <c r="J152" s="2" t="s">
        <v>36</v>
      </c>
      <c r="K152" s="2" t="s">
        <v>52</v>
      </c>
      <c r="L152" s="2" t="s">
        <v>38</v>
      </c>
      <c r="M152" s="7">
        <v>44583</v>
      </c>
      <c r="N152" s="2">
        <v>2099.9699999999998</v>
      </c>
    </row>
    <row r="153" spans="1:14" ht="15.75" customHeight="1" x14ac:dyDescent="0.3">
      <c r="A153" s="2" t="s">
        <v>294</v>
      </c>
      <c r="B153" s="7">
        <v>45622</v>
      </c>
      <c r="C153" s="2" t="s">
        <v>295</v>
      </c>
      <c r="D153" s="2" t="s">
        <v>296</v>
      </c>
      <c r="E153" s="2" t="s">
        <v>19</v>
      </c>
      <c r="F153" s="2" t="s">
        <v>20</v>
      </c>
      <c r="G153" s="2" t="s">
        <v>21</v>
      </c>
      <c r="H153" s="2">
        <v>5</v>
      </c>
      <c r="I153" s="2">
        <v>249.99</v>
      </c>
      <c r="J153" s="2" t="s">
        <v>28</v>
      </c>
      <c r="K153" s="2" t="s">
        <v>42</v>
      </c>
      <c r="L153" s="2" t="s">
        <v>24</v>
      </c>
      <c r="M153" s="7">
        <v>44873</v>
      </c>
      <c r="N153" s="2">
        <v>1249.95</v>
      </c>
    </row>
    <row r="154" spans="1:14" ht="15.75" customHeight="1" x14ac:dyDescent="0.3">
      <c r="A154" s="2" t="s">
        <v>297</v>
      </c>
      <c r="B154" s="7">
        <v>45623</v>
      </c>
      <c r="C154" s="2" t="s">
        <v>114</v>
      </c>
      <c r="D154" s="2" t="s">
        <v>115</v>
      </c>
      <c r="E154" s="2" t="s">
        <v>46</v>
      </c>
      <c r="F154" s="2" t="s">
        <v>47</v>
      </c>
      <c r="G154" s="2" t="s">
        <v>48</v>
      </c>
      <c r="H154" s="2">
        <v>2</v>
      </c>
      <c r="I154" s="2">
        <v>149.99</v>
      </c>
      <c r="J154" s="2" t="s">
        <v>22</v>
      </c>
      <c r="K154" s="2" t="s">
        <v>37</v>
      </c>
      <c r="L154" s="2" t="s">
        <v>38</v>
      </c>
      <c r="M154" s="7">
        <v>45101</v>
      </c>
      <c r="N154" s="2">
        <v>299.98</v>
      </c>
    </row>
    <row r="155" spans="1:14" ht="15.75" customHeight="1" x14ac:dyDescent="0.3">
      <c r="A155" s="2" t="s">
        <v>298</v>
      </c>
      <c r="B155" s="7">
        <v>45627</v>
      </c>
      <c r="C155" s="2" t="s">
        <v>31</v>
      </c>
      <c r="D155" s="2" t="s">
        <v>32</v>
      </c>
      <c r="E155" s="2" t="s">
        <v>107</v>
      </c>
      <c r="F155" s="2" t="s">
        <v>108</v>
      </c>
      <c r="G155" s="2" t="s">
        <v>48</v>
      </c>
      <c r="H155" s="2">
        <v>3</v>
      </c>
      <c r="I155" s="2">
        <v>299.99</v>
      </c>
      <c r="J155" s="2" t="s">
        <v>22</v>
      </c>
      <c r="K155" s="2" t="s">
        <v>37</v>
      </c>
      <c r="L155" s="2" t="s">
        <v>29</v>
      </c>
      <c r="M155" s="7">
        <v>44659</v>
      </c>
      <c r="N155" s="2">
        <v>899.97</v>
      </c>
    </row>
    <row r="156" spans="1:14" ht="15.75" customHeight="1" x14ac:dyDescent="0.3">
      <c r="A156" s="2" t="s">
        <v>299</v>
      </c>
      <c r="B156" s="7">
        <v>45627</v>
      </c>
      <c r="C156" s="2" t="s">
        <v>57</v>
      </c>
      <c r="D156" s="2" t="s">
        <v>58</v>
      </c>
      <c r="E156" s="2" t="s">
        <v>19</v>
      </c>
      <c r="F156" s="2" t="s">
        <v>20</v>
      </c>
      <c r="G156" s="2" t="s">
        <v>21</v>
      </c>
      <c r="H156" s="2">
        <v>5</v>
      </c>
      <c r="I156" s="2">
        <v>249.99</v>
      </c>
      <c r="J156" s="2" t="s">
        <v>22</v>
      </c>
      <c r="K156" s="2" t="s">
        <v>23</v>
      </c>
      <c r="L156" s="2" t="s">
        <v>29</v>
      </c>
      <c r="M156" s="7">
        <v>44485</v>
      </c>
      <c r="N156" s="2">
        <v>1249.95</v>
      </c>
    </row>
    <row r="157" spans="1:14" ht="15.75" customHeight="1" x14ac:dyDescent="0.3">
      <c r="A157" s="2" t="s">
        <v>300</v>
      </c>
      <c r="B157" s="7">
        <v>45627</v>
      </c>
      <c r="C157" s="2" t="s">
        <v>26</v>
      </c>
      <c r="D157" s="2" t="s">
        <v>27</v>
      </c>
      <c r="E157" s="2" t="s">
        <v>54</v>
      </c>
      <c r="F157" s="2" t="s">
        <v>55</v>
      </c>
      <c r="G157" s="2" t="s">
        <v>21</v>
      </c>
      <c r="H157" s="2">
        <v>2</v>
      </c>
      <c r="I157" s="2">
        <v>149.99</v>
      </c>
      <c r="J157" s="2" t="s">
        <v>22</v>
      </c>
      <c r="K157" s="2" t="s">
        <v>37</v>
      </c>
      <c r="L157" s="2" t="s">
        <v>29</v>
      </c>
      <c r="M157" s="7">
        <v>44475</v>
      </c>
      <c r="N157" s="2">
        <v>299.98</v>
      </c>
    </row>
    <row r="158" spans="1:14" ht="15.75" customHeight="1" x14ac:dyDescent="0.3">
      <c r="A158" s="2" t="s">
        <v>301</v>
      </c>
      <c r="B158" s="7">
        <v>45627</v>
      </c>
      <c r="C158" s="2" t="s">
        <v>88</v>
      </c>
      <c r="D158" s="2" t="s">
        <v>89</v>
      </c>
      <c r="E158" s="2" t="s">
        <v>82</v>
      </c>
      <c r="F158" s="2" t="s">
        <v>83</v>
      </c>
      <c r="G158" s="2" t="s">
        <v>21</v>
      </c>
      <c r="H158" s="2">
        <v>5</v>
      </c>
      <c r="I158" s="2">
        <v>699.99</v>
      </c>
      <c r="J158" s="2" t="s">
        <v>59</v>
      </c>
      <c r="K158" s="2" t="s">
        <v>52</v>
      </c>
      <c r="L158" s="2" t="s">
        <v>38</v>
      </c>
      <c r="M158" s="7">
        <v>44944</v>
      </c>
      <c r="N158" s="2">
        <v>3499.95</v>
      </c>
    </row>
    <row r="159" spans="1:14" ht="15.75" customHeight="1" x14ac:dyDescent="0.3">
      <c r="A159" s="2" t="s">
        <v>302</v>
      </c>
      <c r="B159" s="7">
        <v>45629</v>
      </c>
      <c r="C159" s="2" t="s">
        <v>254</v>
      </c>
      <c r="D159" s="2" t="s">
        <v>255</v>
      </c>
      <c r="E159" s="2" t="s">
        <v>19</v>
      </c>
      <c r="F159" s="2" t="s">
        <v>20</v>
      </c>
      <c r="G159" s="2" t="s">
        <v>21</v>
      </c>
      <c r="H159" s="2">
        <v>4</v>
      </c>
      <c r="I159" s="2">
        <v>249.99</v>
      </c>
      <c r="J159" s="2" t="s">
        <v>36</v>
      </c>
      <c r="K159" s="2" t="s">
        <v>65</v>
      </c>
      <c r="L159" s="2" t="s">
        <v>29</v>
      </c>
      <c r="M159" s="7">
        <v>45098</v>
      </c>
      <c r="N159" s="2">
        <v>999.96</v>
      </c>
    </row>
    <row r="160" spans="1:14" ht="15.75" customHeight="1" x14ac:dyDescent="0.3">
      <c r="A160" s="2" t="s">
        <v>303</v>
      </c>
      <c r="B160" s="7">
        <v>45630</v>
      </c>
      <c r="C160" s="2" t="s">
        <v>50</v>
      </c>
      <c r="D160" s="2" t="s">
        <v>51</v>
      </c>
      <c r="E160" s="2" t="s">
        <v>82</v>
      </c>
      <c r="F160" s="2" t="s">
        <v>83</v>
      </c>
      <c r="G160" s="2" t="s">
        <v>21</v>
      </c>
      <c r="H160" s="2">
        <v>4</v>
      </c>
      <c r="I160" s="2">
        <v>699.99</v>
      </c>
      <c r="J160" s="2" t="s">
        <v>28</v>
      </c>
      <c r="K160" s="2" t="s">
        <v>42</v>
      </c>
      <c r="L160" s="2" t="s">
        <v>29</v>
      </c>
      <c r="M160" s="7">
        <v>44703</v>
      </c>
      <c r="N160" s="2">
        <v>2799.96</v>
      </c>
    </row>
    <row r="161" spans="1:14" ht="15.75" customHeight="1" x14ac:dyDescent="0.3">
      <c r="A161" s="2" t="s">
        <v>304</v>
      </c>
      <c r="B161" s="7">
        <v>45635</v>
      </c>
      <c r="C161" s="2" t="s">
        <v>110</v>
      </c>
      <c r="D161" s="2" t="s">
        <v>111</v>
      </c>
      <c r="E161" s="2" t="s">
        <v>19</v>
      </c>
      <c r="F161" s="2" t="s">
        <v>20</v>
      </c>
      <c r="G161" s="2" t="s">
        <v>21</v>
      </c>
      <c r="H161" s="2">
        <v>2</v>
      </c>
      <c r="I161" s="2">
        <v>249.99</v>
      </c>
      <c r="J161" s="2" t="s">
        <v>28</v>
      </c>
      <c r="K161" s="2" t="s">
        <v>23</v>
      </c>
      <c r="L161" s="2" t="s">
        <v>29</v>
      </c>
      <c r="M161" s="7">
        <v>44396</v>
      </c>
      <c r="N161" s="2">
        <v>499.98</v>
      </c>
    </row>
    <row r="162" spans="1:14" ht="15.75" customHeight="1" x14ac:dyDescent="0.3">
      <c r="A162" s="2" t="s">
        <v>305</v>
      </c>
      <c r="B162" s="7">
        <v>45635</v>
      </c>
      <c r="C162" s="2" t="s">
        <v>306</v>
      </c>
      <c r="D162" s="2" t="s">
        <v>307</v>
      </c>
      <c r="E162" s="2" t="s">
        <v>33</v>
      </c>
      <c r="F162" s="2" t="s">
        <v>34</v>
      </c>
      <c r="G162" s="2" t="s">
        <v>35</v>
      </c>
      <c r="H162" s="2">
        <v>3</v>
      </c>
      <c r="I162" s="2">
        <v>59.99</v>
      </c>
      <c r="J162" s="2" t="s">
        <v>22</v>
      </c>
      <c r="K162" s="2" t="s">
        <v>23</v>
      </c>
      <c r="L162" s="2" t="s">
        <v>29</v>
      </c>
      <c r="M162" s="7">
        <v>45052</v>
      </c>
      <c r="N162" s="2">
        <v>179.97</v>
      </c>
    </row>
    <row r="163" spans="1:14" ht="15.75" customHeight="1" x14ac:dyDescent="0.3">
      <c r="A163" s="2" t="s">
        <v>308</v>
      </c>
      <c r="B163" s="7">
        <v>45635</v>
      </c>
      <c r="C163" s="2" t="s">
        <v>143</v>
      </c>
      <c r="D163" s="2" t="s">
        <v>144</v>
      </c>
      <c r="E163" s="2" t="s">
        <v>116</v>
      </c>
      <c r="F163" s="2" t="s">
        <v>117</v>
      </c>
      <c r="G163" s="2" t="s">
        <v>35</v>
      </c>
      <c r="H163" s="2">
        <v>4</v>
      </c>
      <c r="I163" s="2">
        <v>79.989999999999995</v>
      </c>
      <c r="J163" s="2" t="s">
        <v>59</v>
      </c>
      <c r="K163" s="2" t="s">
        <v>65</v>
      </c>
      <c r="L163" s="2" t="s">
        <v>38</v>
      </c>
      <c r="M163" s="7">
        <v>44921</v>
      </c>
      <c r="N163" s="2">
        <v>319.95999999999998</v>
      </c>
    </row>
    <row r="164" spans="1:14" ht="15.75" customHeight="1" x14ac:dyDescent="0.3">
      <c r="A164" s="2" t="s">
        <v>309</v>
      </c>
      <c r="B164" s="7">
        <v>45636</v>
      </c>
      <c r="C164" s="2" t="s">
        <v>122</v>
      </c>
      <c r="D164" s="2" t="s">
        <v>123</v>
      </c>
      <c r="E164" s="2" t="s">
        <v>116</v>
      </c>
      <c r="F164" s="2" t="s">
        <v>117</v>
      </c>
      <c r="G164" s="2" t="s">
        <v>35</v>
      </c>
      <c r="H164" s="2">
        <v>3</v>
      </c>
      <c r="I164" s="2">
        <v>79.989999999999995</v>
      </c>
      <c r="J164" s="2" t="s">
        <v>59</v>
      </c>
      <c r="K164" s="2" t="s">
        <v>65</v>
      </c>
      <c r="L164" s="2" t="s">
        <v>38</v>
      </c>
      <c r="M164" s="7">
        <v>44779</v>
      </c>
      <c r="N164" s="2">
        <v>239.97</v>
      </c>
    </row>
    <row r="165" spans="1:14" ht="15.75" customHeight="1" x14ac:dyDescent="0.3">
      <c r="A165" s="2" t="s">
        <v>310</v>
      </c>
      <c r="B165" s="7">
        <v>45638</v>
      </c>
      <c r="C165" s="2" t="s">
        <v>74</v>
      </c>
      <c r="D165" s="2" t="s">
        <v>75</v>
      </c>
      <c r="E165" s="2" t="s">
        <v>63</v>
      </c>
      <c r="F165" s="2" t="s">
        <v>64</v>
      </c>
      <c r="G165" s="2" t="s">
        <v>21</v>
      </c>
      <c r="H165" s="2">
        <v>2</v>
      </c>
      <c r="I165" s="2">
        <v>899.99</v>
      </c>
      <c r="J165" s="2" t="s">
        <v>22</v>
      </c>
      <c r="K165" s="2" t="s">
        <v>42</v>
      </c>
      <c r="L165" s="2" t="s">
        <v>24</v>
      </c>
      <c r="M165" s="7">
        <v>44406</v>
      </c>
      <c r="N165" s="2">
        <v>1799.98</v>
      </c>
    </row>
    <row r="166" spans="1:14" ht="15.75" customHeight="1" x14ac:dyDescent="0.3">
      <c r="A166" s="2" t="s">
        <v>311</v>
      </c>
      <c r="B166" s="7">
        <v>45641</v>
      </c>
      <c r="C166" s="2" t="s">
        <v>184</v>
      </c>
      <c r="D166" s="2" t="s">
        <v>185</v>
      </c>
      <c r="E166" s="2" t="s">
        <v>46</v>
      </c>
      <c r="F166" s="2" t="s">
        <v>47</v>
      </c>
      <c r="G166" s="2" t="s">
        <v>48</v>
      </c>
      <c r="H166" s="2">
        <v>1</v>
      </c>
      <c r="I166" s="2">
        <v>149.99</v>
      </c>
      <c r="J166" s="2" t="s">
        <v>59</v>
      </c>
      <c r="K166" s="2" t="s">
        <v>65</v>
      </c>
      <c r="L166" s="2" t="s">
        <v>38</v>
      </c>
      <c r="M166" s="7">
        <v>45200</v>
      </c>
      <c r="N166" s="2">
        <v>149.99</v>
      </c>
    </row>
    <row r="167" spans="1:14" ht="15.75" customHeight="1" x14ac:dyDescent="0.3">
      <c r="A167" s="2" t="s">
        <v>312</v>
      </c>
      <c r="B167" s="7">
        <v>45641</v>
      </c>
      <c r="C167" s="2" t="s">
        <v>140</v>
      </c>
      <c r="D167" s="2" t="s">
        <v>141</v>
      </c>
      <c r="E167" s="2" t="s">
        <v>107</v>
      </c>
      <c r="F167" s="2" t="s">
        <v>108</v>
      </c>
      <c r="G167" s="2" t="s">
        <v>48</v>
      </c>
      <c r="H167" s="2">
        <v>2</v>
      </c>
      <c r="I167" s="2">
        <v>299.99</v>
      </c>
      <c r="J167" s="2" t="s">
        <v>22</v>
      </c>
      <c r="K167" s="2" t="s">
        <v>65</v>
      </c>
      <c r="L167" s="2" t="s">
        <v>29</v>
      </c>
      <c r="M167" s="7">
        <v>44724</v>
      </c>
      <c r="N167" s="2">
        <v>599.98</v>
      </c>
    </row>
    <row r="168" spans="1:14" ht="15.75" customHeight="1" x14ac:dyDescent="0.3">
      <c r="A168" s="2" t="s">
        <v>313</v>
      </c>
      <c r="B168" s="7">
        <v>45644</v>
      </c>
      <c r="C168" s="2" t="s">
        <v>134</v>
      </c>
      <c r="D168" s="2" t="s">
        <v>135</v>
      </c>
      <c r="E168" s="2" t="s">
        <v>33</v>
      </c>
      <c r="F168" s="2" t="s">
        <v>34</v>
      </c>
      <c r="G168" s="2" t="s">
        <v>35</v>
      </c>
      <c r="H168" s="2">
        <v>2</v>
      </c>
      <c r="I168" s="2">
        <v>59.99</v>
      </c>
      <c r="J168" s="2" t="s">
        <v>22</v>
      </c>
      <c r="K168" s="2" t="s">
        <v>52</v>
      </c>
      <c r="L168" s="2" t="s">
        <v>24</v>
      </c>
      <c r="M168" s="7">
        <v>45191</v>
      </c>
      <c r="N168" s="2">
        <v>119.98</v>
      </c>
    </row>
    <row r="169" spans="1:14" ht="15.75" customHeight="1" x14ac:dyDescent="0.3">
      <c r="A169" s="2" t="s">
        <v>314</v>
      </c>
      <c r="B169" s="7">
        <v>45645</v>
      </c>
      <c r="C169" s="2" t="s">
        <v>184</v>
      </c>
      <c r="D169" s="2" t="s">
        <v>185</v>
      </c>
      <c r="E169" s="2" t="s">
        <v>119</v>
      </c>
      <c r="F169" s="2" t="s">
        <v>120</v>
      </c>
      <c r="G169" s="2" t="s">
        <v>21</v>
      </c>
      <c r="H169" s="2">
        <v>1</v>
      </c>
      <c r="I169" s="2">
        <v>89.99</v>
      </c>
      <c r="J169" s="2" t="s">
        <v>59</v>
      </c>
      <c r="K169" s="2" t="s">
        <v>23</v>
      </c>
      <c r="L169" s="2" t="s">
        <v>38</v>
      </c>
      <c r="M169" s="7">
        <v>44760</v>
      </c>
      <c r="N169" s="2">
        <v>89.99</v>
      </c>
    </row>
    <row r="170" spans="1:14" ht="15.75" customHeight="1" x14ac:dyDescent="0.3">
      <c r="A170" s="2" t="s">
        <v>315</v>
      </c>
      <c r="B170" s="7">
        <v>45645</v>
      </c>
      <c r="C170" s="2" t="s">
        <v>149</v>
      </c>
      <c r="D170" s="2" t="s">
        <v>150</v>
      </c>
      <c r="E170" s="2" t="s">
        <v>63</v>
      </c>
      <c r="F170" s="2" t="s">
        <v>64</v>
      </c>
      <c r="G170" s="2" t="s">
        <v>21</v>
      </c>
      <c r="H170" s="2">
        <v>5</v>
      </c>
      <c r="I170" s="2">
        <v>899.99</v>
      </c>
      <c r="J170" s="2" t="s">
        <v>59</v>
      </c>
      <c r="K170" s="2" t="s">
        <v>65</v>
      </c>
      <c r="L170" s="2" t="s">
        <v>38</v>
      </c>
      <c r="M170" s="7">
        <v>44625</v>
      </c>
      <c r="N170" s="2">
        <v>4499.95</v>
      </c>
    </row>
    <row r="171" spans="1:14" ht="15.75" customHeight="1" x14ac:dyDescent="0.3">
      <c r="A171" s="2" t="s">
        <v>316</v>
      </c>
      <c r="B171" s="7">
        <v>45646</v>
      </c>
      <c r="C171" s="2" t="s">
        <v>44</v>
      </c>
      <c r="D171" s="2" t="s">
        <v>45</v>
      </c>
      <c r="E171" s="2" t="s">
        <v>46</v>
      </c>
      <c r="F171" s="2" t="s">
        <v>47</v>
      </c>
      <c r="G171" s="2" t="s">
        <v>48</v>
      </c>
      <c r="H171" s="2">
        <v>2</v>
      </c>
      <c r="I171" s="2">
        <v>149.99</v>
      </c>
      <c r="J171" s="2" t="s">
        <v>22</v>
      </c>
      <c r="K171" s="2" t="s">
        <v>37</v>
      </c>
      <c r="L171" s="2" t="s">
        <v>24</v>
      </c>
      <c r="M171" s="7">
        <v>45239</v>
      </c>
      <c r="N171" s="2">
        <v>299.98</v>
      </c>
    </row>
    <row r="172" spans="1:14" ht="15.75" customHeight="1" x14ac:dyDescent="0.3">
      <c r="A172" s="2" t="s">
        <v>317</v>
      </c>
      <c r="B172" s="7">
        <v>45648</v>
      </c>
      <c r="C172" s="2" t="s">
        <v>114</v>
      </c>
      <c r="D172" s="2" t="s">
        <v>115</v>
      </c>
      <c r="E172" s="2" t="s">
        <v>54</v>
      </c>
      <c r="F172" s="2" t="s">
        <v>55</v>
      </c>
      <c r="G172" s="2" t="s">
        <v>21</v>
      </c>
      <c r="H172" s="2">
        <v>2</v>
      </c>
      <c r="I172" s="2">
        <v>149.99</v>
      </c>
      <c r="J172" s="2" t="s">
        <v>59</v>
      </c>
      <c r="K172" s="2" t="s">
        <v>52</v>
      </c>
      <c r="L172" s="2" t="s">
        <v>29</v>
      </c>
      <c r="M172" s="7">
        <v>45280</v>
      </c>
      <c r="N172" s="2">
        <v>299.98</v>
      </c>
    </row>
    <row r="173" spans="1:14" ht="15.75" customHeight="1" x14ac:dyDescent="0.3">
      <c r="A173" s="2" t="s">
        <v>318</v>
      </c>
      <c r="B173" s="7">
        <v>45648</v>
      </c>
      <c r="C173" s="2" t="s">
        <v>184</v>
      </c>
      <c r="D173" s="2" t="s">
        <v>185</v>
      </c>
      <c r="E173" s="2" t="s">
        <v>46</v>
      </c>
      <c r="F173" s="2" t="s">
        <v>47</v>
      </c>
      <c r="G173" s="2" t="s">
        <v>48</v>
      </c>
      <c r="H173" s="2">
        <v>3</v>
      </c>
      <c r="I173" s="2">
        <v>149.99</v>
      </c>
      <c r="J173" s="2" t="s">
        <v>59</v>
      </c>
      <c r="K173" s="2" t="s">
        <v>42</v>
      </c>
      <c r="L173" s="2" t="s">
        <v>38</v>
      </c>
      <c r="M173" s="7">
        <v>44522</v>
      </c>
      <c r="N173" s="2">
        <v>449.97</v>
      </c>
    </row>
    <row r="174" spans="1:14" ht="15.75" customHeight="1" x14ac:dyDescent="0.3">
      <c r="A174" s="2" t="s">
        <v>319</v>
      </c>
      <c r="B174" s="7">
        <v>45649</v>
      </c>
      <c r="C174" s="2" t="s">
        <v>31</v>
      </c>
      <c r="D174" s="2" t="s">
        <v>32</v>
      </c>
      <c r="E174" s="2" t="s">
        <v>107</v>
      </c>
      <c r="F174" s="2" t="s">
        <v>108</v>
      </c>
      <c r="G174" s="2" t="s">
        <v>48</v>
      </c>
      <c r="H174" s="2">
        <v>2</v>
      </c>
      <c r="I174" s="2">
        <v>299.99</v>
      </c>
      <c r="J174" s="2" t="s">
        <v>36</v>
      </c>
      <c r="K174" s="2" t="s">
        <v>37</v>
      </c>
      <c r="L174" s="2" t="s">
        <v>24</v>
      </c>
      <c r="M174" s="7">
        <v>44721</v>
      </c>
      <c r="N174" s="2">
        <v>599.98</v>
      </c>
    </row>
    <row r="175" spans="1:14" ht="15.75" customHeight="1" x14ac:dyDescent="0.3">
      <c r="A175" s="2" t="s">
        <v>320</v>
      </c>
      <c r="B175" s="7">
        <v>45654</v>
      </c>
      <c r="C175" s="2" t="s">
        <v>44</v>
      </c>
      <c r="D175" s="2" t="s">
        <v>45</v>
      </c>
      <c r="E175" s="2" t="s">
        <v>107</v>
      </c>
      <c r="F175" s="2" t="s">
        <v>108</v>
      </c>
      <c r="G175" s="2" t="s">
        <v>48</v>
      </c>
      <c r="H175" s="2">
        <v>2</v>
      </c>
      <c r="I175" s="2">
        <v>299.99</v>
      </c>
      <c r="J175" s="2" t="s">
        <v>22</v>
      </c>
      <c r="K175" s="2" t="s">
        <v>52</v>
      </c>
      <c r="L175" s="2" t="s">
        <v>24</v>
      </c>
      <c r="M175" s="7">
        <v>44771</v>
      </c>
      <c r="N175" s="2">
        <v>599.98</v>
      </c>
    </row>
    <row r="176" spans="1:14" ht="15.75" customHeight="1" x14ac:dyDescent="0.3">
      <c r="A176" s="2" t="s">
        <v>321</v>
      </c>
      <c r="B176" s="7">
        <v>45654</v>
      </c>
      <c r="C176" s="2" t="s">
        <v>122</v>
      </c>
      <c r="D176" s="2" t="s">
        <v>123</v>
      </c>
      <c r="E176" s="2" t="s">
        <v>128</v>
      </c>
      <c r="F176" s="2" t="s">
        <v>129</v>
      </c>
      <c r="G176" s="2" t="s">
        <v>48</v>
      </c>
      <c r="H176" s="2">
        <v>4</v>
      </c>
      <c r="I176" s="2">
        <v>199.99</v>
      </c>
      <c r="J176" s="2" t="s">
        <v>28</v>
      </c>
      <c r="K176" s="2" t="s">
        <v>23</v>
      </c>
      <c r="L176" s="2" t="s">
        <v>24</v>
      </c>
      <c r="M176" s="7">
        <v>44523</v>
      </c>
      <c r="N176" s="2">
        <v>799.96</v>
      </c>
    </row>
    <row r="177" spans="1:14" ht="15.75" customHeight="1" x14ac:dyDescent="0.3">
      <c r="A177" s="2" t="s">
        <v>322</v>
      </c>
      <c r="B177" s="7">
        <v>45655</v>
      </c>
      <c r="C177" s="2" t="s">
        <v>61</v>
      </c>
      <c r="D177" s="2" t="s">
        <v>62</v>
      </c>
      <c r="E177" s="2" t="s">
        <v>119</v>
      </c>
      <c r="F177" s="2" t="s">
        <v>120</v>
      </c>
      <c r="G177" s="2" t="s">
        <v>21</v>
      </c>
      <c r="H177" s="2">
        <v>1</v>
      </c>
      <c r="I177" s="2">
        <v>89.99</v>
      </c>
      <c r="J177" s="2" t="s">
        <v>28</v>
      </c>
      <c r="K177" s="2" t="s">
        <v>37</v>
      </c>
      <c r="L177" s="2" t="s">
        <v>29</v>
      </c>
      <c r="M177" s="7">
        <v>44591</v>
      </c>
      <c r="N177" s="2">
        <v>89.99</v>
      </c>
    </row>
    <row r="178" spans="1:14" ht="15.75" customHeight="1" x14ac:dyDescent="0.3">
      <c r="A178" s="2" t="s">
        <v>323</v>
      </c>
      <c r="B178" s="7">
        <v>45655</v>
      </c>
      <c r="C178" s="2" t="s">
        <v>110</v>
      </c>
      <c r="D178" s="2" t="s">
        <v>111</v>
      </c>
      <c r="E178" s="2" t="s">
        <v>46</v>
      </c>
      <c r="F178" s="2" t="s">
        <v>47</v>
      </c>
      <c r="G178" s="2" t="s">
        <v>48</v>
      </c>
      <c r="H178" s="2">
        <v>5</v>
      </c>
      <c r="I178" s="2">
        <v>149.99</v>
      </c>
      <c r="J178" s="2" t="s">
        <v>22</v>
      </c>
      <c r="K178" s="2" t="s">
        <v>23</v>
      </c>
      <c r="L178" s="2" t="s">
        <v>29</v>
      </c>
      <c r="M178" s="7">
        <v>45347</v>
      </c>
      <c r="N178" s="2">
        <v>749.95</v>
      </c>
    </row>
    <row r="179" spans="1:14" ht="15.75" customHeight="1" x14ac:dyDescent="0.3">
      <c r="A179" s="2" t="s">
        <v>324</v>
      </c>
      <c r="B179" s="7">
        <v>45657</v>
      </c>
      <c r="C179" s="2" t="s">
        <v>88</v>
      </c>
      <c r="D179" s="2" t="s">
        <v>89</v>
      </c>
      <c r="E179" s="2" t="s">
        <v>63</v>
      </c>
      <c r="F179" s="2" t="s">
        <v>64</v>
      </c>
      <c r="G179" s="2" t="s">
        <v>21</v>
      </c>
      <c r="H179" s="2">
        <v>1</v>
      </c>
      <c r="I179" s="2">
        <v>899.99</v>
      </c>
      <c r="J179" s="2" t="s">
        <v>36</v>
      </c>
      <c r="K179" s="2" t="s">
        <v>42</v>
      </c>
      <c r="L179" s="2" t="s">
        <v>29</v>
      </c>
      <c r="M179" s="7">
        <v>45050</v>
      </c>
      <c r="N179" s="2">
        <v>899.99</v>
      </c>
    </row>
    <row r="180" spans="1:14" ht="15.75" customHeight="1" x14ac:dyDescent="0.3">
      <c r="A180" s="2" t="s">
        <v>325</v>
      </c>
      <c r="B180" s="7">
        <v>45660</v>
      </c>
      <c r="C180" s="2" t="s">
        <v>149</v>
      </c>
      <c r="D180" s="2" t="s">
        <v>150</v>
      </c>
      <c r="E180" s="2" t="s">
        <v>119</v>
      </c>
      <c r="F180" s="2" t="s">
        <v>120</v>
      </c>
      <c r="G180" s="2" t="s">
        <v>21</v>
      </c>
      <c r="H180" s="2">
        <v>2</v>
      </c>
      <c r="I180" s="2">
        <v>89.99</v>
      </c>
      <c r="J180" s="2" t="s">
        <v>28</v>
      </c>
      <c r="K180" s="2" t="s">
        <v>37</v>
      </c>
      <c r="L180" s="2" t="s">
        <v>29</v>
      </c>
      <c r="M180" s="7">
        <v>44564</v>
      </c>
      <c r="N180" s="2">
        <v>179.98</v>
      </c>
    </row>
    <row r="181" spans="1:14" ht="15.75" customHeight="1" x14ac:dyDescent="0.3">
      <c r="A181" s="2" t="s">
        <v>326</v>
      </c>
      <c r="B181" s="7">
        <v>45661</v>
      </c>
      <c r="C181" s="2" t="s">
        <v>327</v>
      </c>
      <c r="D181" s="2" t="s">
        <v>328</v>
      </c>
      <c r="E181" s="2" t="s">
        <v>63</v>
      </c>
      <c r="F181" s="2" t="s">
        <v>64</v>
      </c>
      <c r="G181" s="2" t="s">
        <v>21</v>
      </c>
      <c r="H181" s="2">
        <v>1</v>
      </c>
      <c r="I181" s="2">
        <v>899.99</v>
      </c>
      <c r="J181" s="2" t="s">
        <v>36</v>
      </c>
      <c r="K181" s="2" t="s">
        <v>42</v>
      </c>
      <c r="L181" s="2" t="s">
        <v>38</v>
      </c>
      <c r="M181" s="7">
        <v>44752</v>
      </c>
      <c r="N181" s="2">
        <v>899.99</v>
      </c>
    </row>
    <row r="182" spans="1:14" ht="15.75" customHeight="1" x14ac:dyDescent="0.3">
      <c r="A182" s="2" t="s">
        <v>329</v>
      </c>
      <c r="B182" s="7">
        <v>45663</v>
      </c>
      <c r="C182" s="2" t="s">
        <v>131</v>
      </c>
      <c r="D182" s="2" t="s">
        <v>132</v>
      </c>
      <c r="E182" s="2" t="s">
        <v>54</v>
      </c>
      <c r="F182" s="2" t="s">
        <v>55</v>
      </c>
      <c r="G182" s="2" t="s">
        <v>21</v>
      </c>
      <c r="H182" s="2">
        <v>5</v>
      </c>
      <c r="I182" s="2">
        <v>149.99</v>
      </c>
      <c r="J182" s="2" t="s">
        <v>36</v>
      </c>
      <c r="K182" s="2" t="s">
        <v>65</v>
      </c>
      <c r="L182" s="2" t="s">
        <v>29</v>
      </c>
      <c r="M182" s="7">
        <v>44824</v>
      </c>
      <c r="N182" s="2">
        <v>749.95</v>
      </c>
    </row>
    <row r="183" spans="1:14" ht="15.75" customHeight="1" x14ac:dyDescent="0.3">
      <c r="A183" s="2" t="s">
        <v>330</v>
      </c>
      <c r="B183" s="7">
        <v>45663</v>
      </c>
      <c r="C183" s="2" t="s">
        <v>44</v>
      </c>
      <c r="D183" s="2" t="s">
        <v>45</v>
      </c>
      <c r="E183" s="2" t="s">
        <v>107</v>
      </c>
      <c r="F183" s="2" t="s">
        <v>108</v>
      </c>
      <c r="G183" s="2" t="s">
        <v>48</v>
      </c>
      <c r="H183" s="2">
        <v>3</v>
      </c>
      <c r="I183" s="2">
        <v>299.99</v>
      </c>
      <c r="J183" s="2" t="s">
        <v>22</v>
      </c>
      <c r="K183" s="2" t="s">
        <v>37</v>
      </c>
      <c r="L183" s="2" t="s">
        <v>38</v>
      </c>
      <c r="M183" s="7">
        <v>44422</v>
      </c>
      <c r="N183" s="2">
        <v>899.97</v>
      </c>
    </row>
    <row r="184" spans="1:14" ht="15.75" customHeight="1" x14ac:dyDescent="0.3">
      <c r="A184" s="2" t="s">
        <v>331</v>
      </c>
      <c r="B184" s="7">
        <v>45666</v>
      </c>
      <c r="C184" s="2" t="s">
        <v>67</v>
      </c>
      <c r="D184" s="2" t="s">
        <v>68</v>
      </c>
      <c r="E184" s="2" t="s">
        <v>82</v>
      </c>
      <c r="F184" s="2" t="s">
        <v>83</v>
      </c>
      <c r="G184" s="2" t="s">
        <v>21</v>
      </c>
      <c r="H184" s="2">
        <v>3</v>
      </c>
      <c r="I184" s="2">
        <v>699.99</v>
      </c>
      <c r="J184" s="2" t="s">
        <v>28</v>
      </c>
      <c r="K184" s="2" t="s">
        <v>23</v>
      </c>
      <c r="L184" s="2" t="s">
        <v>29</v>
      </c>
      <c r="M184" s="7">
        <v>45105</v>
      </c>
      <c r="N184" s="2">
        <v>2099.9699999999998</v>
      </c>
    </row>
    <row r="185" spans="1:14" ht="15.75" customHeight="1" x14ac:dyDescent="0.3">
      <c r="A185" s="2" t="s">
        <v>332</v>
      </c>
      <c r="B185" s="7">
        <v>45667</v>
      </c>
      <c r="C185" s="2" t="s">
        <v>110</v>
      </c>
      <c r="D185" s="2" t="s">
        <v>111</v>
      </c>
      <c r="E185" s="2" t="s">
        <v>128</v>
      </c>
      <c r="F185" s="2" t="s">
        <v>129</v>
      </c>
      <c r="G185" s="2" t="s">
        <v>48</v>
      </c>
      <c r="H185" s="2">
        <v>5</v>
      </c>
      <c r="I185" s="2">
        <v>199.99</v>
      </c>
      <c r="J185" s="2" t="s">
        <v>36</v>
      </c>
      <c r="K185" s="2" t="s">
        <v>23</v>
      </c>
      <c r="L185" s="2" t="s">
        <v>38</v>
      </c>
      <c r="M185" s="7">
        <v>44633</v>
      </c>
      <c r="N185" s="2">
        <v>999.95</v>
      </c>
    </row>
    <row r="186" spans="1:14" ht="15.75" customHeight="1" x14ac:dyDescent="0.3">
      <c r="A186" s="2" t="s">
        <v>333</v>
      </c>
      <c r="B186" s="7">
        <v>45667</v>
      </c>
      <c r="C186" s="2" t="s">
        <v>95</v>
      </c>
      <c r="D186" s="2" t="s">
        <v>96</v>
      </c>
      <c r="E186" s="2" t="s">
        <v>19</v>
      </c>
      <c r="F186" s="2" t="s">
        <v>20</v>
      </c>
      <c r="G186" s="2" t="s">
        <v>21</v>
      </c>
      <c r="H186" s="2">
        <v>5</v>
      </c>
      <c r="I186" s="2">
        <v>249.99</v>
      </c>
      <c r="J186" s="2" t="s">
        <v>28</v>
      </c>
      <c r="K186" s="2" t="s">
        <v>37</v>
      </c>
      <c r="L186" s="2" t="s">
        <v>24</v>
      </c>
      <c r="M186" s="7">
        <v>45330</v>
      </c>
      <c r="N186" s="2">
        <v>1249.95</v>
      </c>
    </row>
    <row r="187" spans="1:14" ht="15.75" customHeight="1" x14ac:dyDescent="0.3">
      <c r="A187" s="2" t="s">
        <v>334</v>
      </c>
      <c r="B187" s="7">
        <v>45668</v>
      </c>
      <c r="C187" s="2" t="s">
        <v>140</v>
      </c>
      <c r="D187" s="2" t="s">
        <v>141</v>
      </c>
      <c r="E187" s="2" t="s">
        <v>54</v>
      </c>
      <c r="F187" s="2" t="s">
        <v>55</v>
      </c>
      <c r="G187" s="2" t="s">
        <v>21</v>
      </c>
      <c r="H187" s="2">
        <v>4</v>
      </c>
      <c r="I187" s="2">
        <v>149.99</v>
      </c>
      <c r="J187" s="2" t="s">
        <v>59</v>
      </c>
      <c r="K187" s="2" t="s">
        <v>65</v>
      </c>
      <c r="L187" s="2" t="s">
        <v>38</v>
      </c>
      <c r="M187" s="7">
        <v>44536</v>
      </c>
      <c r="N187" s="2">
        <v>599.96</v>
      </c>
    </row>
    <row r="188" spans="1:14" ht="15.75" customHeight="1" x14ac:dyDescent="0.3">
      <c r="A188" s="2" t="s">
        <v>335</v>
      </c>
      <c r="B188" s="7">
        <v>45668</v>
      </c>
      <c r="C188" s="2" t="s">
        <v>80</v>
      </c>
      <c r="D188" s="2" t="s">
        <v>81</v>
      </c>
      <c r="E188" s="2" t="s">
        <v>82</v>
      </c>
      <c r="F188" s="2" t="s">
        <v>83</v>
      </c>
      <c r="G188" s="2" t="s">
        <v>21</v>
      </c>
      <c r="H188" s="2">
        <v>3</v>
      </c>
      <c r="I188" s="2">
        <v>699.99</v>
      </c>
      <c r="J188" s="2" t="s">
        <v>22</v>
      </c>
      <c r="K188" s="2" t="s">
        <v>42</v>
      </c>
      <c r="L188" s="2" t="s">
        <v>29</v>
      </c>
      <c r="M188" s="7">
        <v>44602</v>
      </c>
      <c r="N188" s="2">
        <v>2099.9699999999998</v>
      </c>
    </row>
    <row r="189" spans="1:14" ht="15.75" customHeight="1" x14ac:dyDescent="0.3">
      <c r="A189" s="2" t="s">
        <v>336</v>
      </c>
      <c r="B189" s="7">
        <v>45670</v>
      </c>
      <c r="C189" s="2" t="s">
        <v>295</v>
      </c>
      <c r="D189" s="2" t="s">
        <v>296</v>
      </c>
      <c r="E189" s="2" t="s">
        <v>116</v>
      </c>
      <c r="F189" s="2" t="s">
        <v>117</v>
      </c>
      <c r="G189" s="2" t="s">
        <v>35</v>
      </c>
      <c r="H189" s="2">
        <v>1</v>
      </c>
      <c r="I189" s="2">
        <v>79.989999999999995</v>
      </c>
      <c r="J189" s="2" t="s">
        <v>28</v>
      </c>
      <c r="K189" s="2" t="s">
        <v>37</v>
      </c>
      <c r="L189" s="2" t="s">
        <v>24</v>
      </c>
      <c r="M189" s="7">
        <v>45322</v>
      </c>
      <c r="N189" s="2">
        <v>79.989999999999995</v>
      </c>
    </row>
    <row r="190" spans="1:14" ht="15.75" customHeight="1" x14ac:dyDescent="0.3">
      <c r="A190" s="2" t="s">
        <v>337</v>
      </c>
      <c r="B190" s="7">
        <v>45670</v>
      </c>
      <c r="C190" s="2" t="s">
        <v>88</v>
      </c>
      <c r="D190" s="2" t="s">
        <v>89</v>
      </c>
      <c r="E190" s="2" t="s">
        <v>107</v>
      </c>
      <c r="F190" s="2" t="s">
        <v>108</v>
      </c>
      <c r="G190" s="2" t="s">
        <v>48</v>
      </c>
      <c r="H190" s="2">
        <v>1</v>
      </c>
      <c r="I190" s="2">
        <v>299.99</v>
      </c>
      <c r="J190" s="2" t="s">
        <v>28</v>
      </c>
      <c r="K190" s="2" t="s">
        <v>42</v>
      </c>
      <c r="L190" s="2" t="s">
        <v>24</v>
      </c>
      <c r="M190" s="7">
        <v>44436</v>
      </c>
      <c r="N190" s="2">
        <v>299.99</v>
      </c>
    </row>
    <row r="191" spans="1:14" ht="15.75" customHeight="1" x14ac:dyDescent="0.3">
      <c r="A191" s="2" t="s">
        <v>338</v>
      </c>
      <c r="B191" s="7">
        <v>45671</v>
      </c>
      <c r="C191" s="2" t="s">
        <v>160</v>
      </c>
      <c r="D191" s="2" t="s">
        <v>161</v>
      </c>
      <c r="E191" s="2" t="s">
        <v>19</v>
      </c>
      <c r="F191" s="2" t="s">
        <v>20</v>
      </c>
      <c r="G191" s="2" t="s">
        <v>21</v>
      </c>
      <c r="H191" s="2">
        <v>4</v>
      </c>
      <c r="I191" s="2">
        <v>249.99</v>
      </c>
      <c r="J191" s="2" t="s">
        <v>28</v>
      </c>
      <c r="K191" s="2" t="s">
        <v>42</v>
      </c>
      <c r="L191" s="2" t="s">
        <v>29</v>
      </c>
      <c r="M191" s="7">
        <v>44460</v>
      </c>
      <c r="N191" s="2">
        <v>999.96</v>
      </c>
    </row>
    <row r="192" spans="1:14" ht="15.75" customHeight="1" x14ac:dyDescent="0.3">
      <c r="A192" s="2" t="s">
        <v>339</v>
      </c>
      <c r="B192" s="7">
        <v>45671</v>
      </c>
      <c r="C192" s="2" t="s">
        <v>122</v>
      </c>
      <c r="D192" s="2" t="s">
        <v>123</v>
      </c>
      <c r="E192" s="2" t="s">
        <v>54</v>
      </c>
      <c r="F192" s="2" t="s">
        <v>55</v>
      </c>
      <c r="G192" s="2" t="s">
        <v>21</v>
      </c>
      <c r="H192" s="2">
        <v>2</v>
      </c>
      <c r="I192" s="2">
        <v>149.99</v>
      </c>
      <c r="J192" s="2" t="s">
        <v>22</v>
      </c>
      <c r="K192" s="2" t="s">
        <v>42</v>
      </c>
      <c r="L192" s="2" t="s">
        <v>38</v>
      </c>
      <c r="M192" s="7">
        <v>44913</v>
      </c>
      <c r="N192" s="2">
        <v>299.98</v>
      </c>
    </row>
    <row r="193" spans="1:14" ht="15.75" customHeight="1" x14ac:dyDescent="0.3">
      <c r="A193" s="2" t="s">
        <v>340</v>
      </c>
      <c r="B193" s="7">
        <v>45671</v>
      </c>
      <c r="C193" s="2" t="s">
        <v>236</v>
      </c>
      <c r="D193" s="2" t="s">
        <v>237</v>
      </c>
      <c r="E193" s="2" t="s">
        <v>107</v>
      </c>
      <c r="F193" s="2" t="s">
        <v>108</v>
      </c>
      <c r="G193" s="2" t="s">
        <v>48</v>
      </c>
      <c r="H193" s="2">
        <v>3</v>
      </c>
      <c r="I193" s="2">
        <v>299.99</v>
      </c>
      <c r="J193" s="2" t="s">
        <v>28</v>
      </c>
      <c r="K193" s="2" t="s">
        <v>37</v>
      </c>
      <c r="L193" s="2" t="s">
        <v>24</v>
      </c>
      <c r="M193" s="7">
        <v>45204</v>
      </c>
      <c r="N193" s="2">
        <v>899.97</v>
      </c>
    </row>
    <row r="194" spans="1:14" ht="15.75" customHeight="1" x14ac:dyDescent="0.3">
      <c r="A194" s="2" t="s">
        <v>341</v>
      </c>
      <c r="B194" s="7">
        <v>45673</v>
      </c>
      <c r="C194" s="2" t="s">
        <v>228</v>
      </c>
      <c r="D194" s="2" t="s">
        <v>229</v>
      </c>
      <c r="E194" s="2" t="s">
        <v>128</v>
      </c>
      <c r="F194" s="2" t="s">
        <v>129</v>
      </c>
      <c r="G194" s="2" t="s">
        <v>48</v>
      </c>
      <c r="H194" s="2">
        <v>4</v>
      </c>
      <c r="I194" s="2">
        <v>199.99</v>
      </c>
      <c r="J194" s="2" t="s">
        <v>59</v>
      </c>
      <c r="K194" s="2" t="s">
        <v>37</v>
      </c>
      <c r="L194" s="2" t="s">
        <v>38</v>
      </c>
      <c r="M194" s="7">
        <v>44544</v>
      </c>
      <c r="N194" s="2">
        <v>799.96</v>
      </c>
    </row>
    <row r="195" spans="1:14" ht="15.75" customHeight="1" x14ac:dyDescent="0.3">
      <c r="A195" s="2" t="s">
        <v>342</v>
      </c>
      <c r="B195" s="7">
        <v>45673</v>
      </c>
      <c r="C195" s="2" t="s">
        <v>213</v>
      </c>
      <c r="D195" s="2" t="s">
        <v>214</v>
      </c>
      <c r="E195" s="2" t="s">
        <v>107</v>
      </c>
      <c r="F195" s="2" t="s">
        <v>108</v>
      </c>
      <c r="G195" s="2" t="s">
        <v>48</v>
      </c>
      <c r="H195" s="2">
        <v>5</v>
      </c>
      <c r="I195" s="2">
        <v>299.99</v>
      </c>
      <c r="J195" s="2" t="s">
        <v>59</v>
      </c>
      <c r="K195" s="2" t="s">
        <v>23</v>
      </c>
      <c r="L195" s="2" t="s">
        <v>24</v>
      </c>
      <c r="M195" s="7">
        <v>44431</v>
      </c>
      <c r="N195" s="2">
        <v>1499.95</v>
      </c>
    </row>
    <row r="196" spans="1:14" ht="15.75" customHeight="1" x14ac:dyDescent="0.3">
      <c r="A196" s="2" t="s">
        <v>343</v>
      </c>
      <c r="B196" s="7">
        <v>45673</v>
      </c>
      <c r="C196" s="2" t="s">
        <v>61</v>
      </c>
      <c r="D196" s="2" t="s">
        <v>62</v>
      </c>
      <c r="E196" s="2" t="s">
        <v>46</v>
      </c>
      <c r="F196" s="2" t="s">
        <v>47</v>
      </c>
      <c r="G196" s="2" t="s">
        <v>48</v>
      </c>
      <c r="H196" s="2">
        <v>3</v>
      </c>
      <c r="I196" s="2">
        <v>149.99</v>
      </c>
      <c r="J196" s="2" t="s">
        <v>28</v>
      </c>
      <c r="K196" s="2" t="s">
        <v>65</v>
      </c>
      <c r="L196" s="2" t="s">
        <v>38</v>
      </c>
      <c r="M196" s="7">
        <v>44395</v>
      </c>
      <c r="N196" s="2">
        <v>449.97</v>
      </c>
    </row>
    <row r="197" spans="1:14" ht="15.75" customHeight="1" x14ac:dyDescent="0.3">
      <c r="A197" s="2" t="s">
        <v>344</v>
      </c>
      <c r="B197" s="7">
        <v>45676</v>
      </c>
      <c r="C197" s="2" t="s">
        <v>131</v>
      </c>
      <c r="D197" s="2" t="s">
        <v>132</v>
      </c>
      <c r="E197" s="2" t="s">
        <v>33</v>
      </c>
      <c r="F197" s="2" t="s">
        <v>34</v>
      </c>
      <c r="G197" s="2" t="s">
        <v>35</v>
      </c>
      <c r="H197" s="2">
        <v>5</v>
      </c>
      <c r="I197" s="2">
        <v>59.99</v>
      </c>
      <c r="J197" s="2" t="s">
        <v>59</v>
      </c>
      <c r="K197" s="2" t="s">
        <v>65</v>
      </c>
      <c r="L197" s="2" t="s">
        <v>24</v>
      </c>
      <c r="M197" s="7">
        <v>44642</v>
      </c>
      <c r="N197" s="2">
        <v>299.95</v>
      </c>
    </row>
    <row r="198" spans="1:14" ht="15.75" customHeight="1" x14ac:dyDescent="0.3">
      <c r="A198" s="2" t="s">
        <v>345</v>
      </c>
      <c r="B198" s="7">
        <v>45682</v>
      </c>
      <c r="C198" s="2" t="s">
        <v>70</v>
      </c>
      <c r="D198" s="2" t="s">
        <v>71</v>
      </c>
      <c r="E198" s="2" t="s">
        <v>33</v>
      </c>
      <c r="F198" s="2" t="s">
        <v>34</v>
      </c>
      <c r="G198" s="2" t="s">
        <v>35</v>
      </c>
      <c r="H198" s="2">
        <v>4</v>
      </c>
      <c r="I198" s="2">
        <v>59.99</v>
      </c>
      <c r="J198" s="2" t="s">
        <v>59</v>
      </c>
      <c r="K198" s="2" t="s">
        <v>65</v>
      </c>
      <c r="L198" s="2" t="s">
        <v>38</v>
      </c>
      <c r="M198" s="7">
        <v>44564</v>
      </c>
      <c r="N198" s="2">
        <v>239.96</v>
      </c>
    </row>
    <row r="199" spans="1:14" ht="15.75" customHeight="1" x14ac:dyDescent="0.3">
      <c r="A199" s="2" t="s">
        <v>346</v>
      </c>
      <c r="B199" s="7">
        <v>45683</v>
      </c>
      <c r="C199" s="2" t="s">
        <v>50</v>
      </c>
      <c r="D199" s="2" t="s">
        <v>51</v>
      </c>
      <c r="E199" s="2" t="s">
        <v>19</v>
      </c>
      <c r="F199" s="2" t="s">
        <v>20</v>
      </c>
      <c r="G199" s="2" t="s">
        <v>21</v>
      </c>
      <c r="H199" s="2">
        <v>4</v>
      </c>
      <c r="I199" s="2">
        <v>249.99</v>
      </c>
      <c r="J199" s="2" t="s">
        <v>59</v>
      </c>
      <c r="K199" s="2" t="s">
        <v>23</v>
      </c>
      <c r="L199" s="2" t="s">
        <v>29</v>
      </c>
      <c r="M199" s="7">
        <v>45217</v>
      </c>
      <c r="N199" s="2">
        <v>999.96</v>
      </c>
    </row>
    <row r="200" spans="1:14" ht="15.75" customHeight="1" x14ac:dyDescent="0.3">
      <c r="A200" s="2" t="s">
        <v>347</v>
      </c>
      <c r="B200" s="7">
        <v>45686</v>
      </c>
      <c r="C200" s="2" t="s">
        <v>254</v>
      </c>
      <c r="D200" s="2" t="s">
        <v>255</v>
      </c>
      <c r="E200" s="2" t="s">
        <v>63</v>
      </c>
      <c r="F200" s="2" t="s">
        <v>64</v>
      </c>
      <c r="G200" s="2" t="s">
        <v>21</v>
      </c>
      <c r="H200" s="2">
        <v>4</v>
      </c>
      <c r="I200" s="2">
        <v>899.99</v>
      </c>
      <c r="J200" s="2" t="s">
        <v>36</v>
      </c>
      <c r="K200" s="2" t="s">
        <v>23</v>
      </c>
      <c r="L200" s="2" t="s">
        <v>24</v>
      </c>
      <c r="M200" s="7">
        <v>44734</v>
      </c>
      <c r="N200" s="2">
        <v>3599.96</v>
      </c>
    </row>
    <row r="201" spans="1:14" ht="15.75" customHeight="1" x14ac:dyDescent="0.3">
      <c r="A201" s="2" t="s">
        <v>348</v>
      </c>
      <c r="B201" s="7">
        <v>45686</v>
      </c>
      <c r="C201" s="2" t="s">
        <v>88</v>
      </c>
      <c r="D201" s="2" t="s">
        <v>89</v>
      </c>
      <c r="E201" s="2" t="s">
        <v>107</v>
      </c>
      <c r="F201" s="2" t="s">
        <v>108</v>
      </c>
      <c r="G201" s="2" t="s">
        <v>48</v>
      </c>
      <c r="H201" s="2">
        <v>3</v>
      </c>
      <c r="I201" s="2">
        <v>299.99</v>
      </c>
      <c r="J201" s="2" t="s">
        <v>59</v>
      </c>
      <c r="K201" s="2" t="s">
        <v>52</v>
      </c>
      <c r="L201" s="2" t="s">
        <v>38</v>
      </c>
      <c r="M201" s="7">
        <v>44952</v>
      </c>
      <c r="N201" s="2">
        <v>899.97</v>
      </c>
    </row>
    <row r="202" spans="1:14" ht="15.75" customHeight="1" x14ac:dyDescent="0.3">
      <c r="A202" s="2" t="s">
        <v>349</v>
      </c>
      <c r="B202" s="7">
        <v>45686</v>
      </c>
      <c r="C202" s="2" t="s">
        <v>295</v>
      </c>
      <c r="D202" s="2" t="s">
        <v>296</v>
      </c>
      <c r="E202" s="2" t="s">
        <v>82</v>
      </c>
      <c r="F202" s="2" t="s">
        <v>83</v>
      </c>
      <c r="G202" s="2" t="s">
        <v>21</v>
      </c>
      <c r="H202" s="2">
        <v>2</v>
      </c>
      <c r="I202" s="2">
        <v>699.99</v>
      </c>
      <c r="J202" s="2" t="s">
        <v>59</v>
      </c>
      <c r="K202" s="2" t="s">
        <v>23</v>
      </c>
      <c r="L202" s="2" t="s">
        <v>29</v>
      </c>
      <c r="M202" s="7">
        <v>44681</v>
      </c>
      <c r="N202" s="2">
        <v>1399.98</v>
      </c>
    </row>
    <row r="203" spans="1:14" ht="15.75" customHeight="1" x14ac:dyDescent="0.3">
      <c r="A203" s="2" t="s">
        <v>350</v>
      </c>
      <c r="B203" s="7">
        <v>45688</v>
      </c>
      <c r="C203" s="2" t="s">
        <v>67</v>
      </c>
      <c r="D203" s="2" t="s">
        <v>68</v>
      </c>
      <c r="E203" s="2" t="s">
        <v>82</v>
      </c>
      <c r="F203" s="2" t="s">
        <v>83</v>
      </c>
      <c r="G203" s="2" t="s">
        <v>21</v>
      </c>
      <c r="H203" s="2">
        <v>4</v>
      </c>
      <c r="I203" s="2">
        <v>699.99</v>
      </c>
      <c r="J203" s="2" t="s">
        <v>59</v>
      </c>
      <c r="K203" s="2" t="s">
        <v>52</v>
      </c>
      <c r="L203" s="2" t="s">
        <v>29</v>
      </c>
      <c r="M203" s="7">
        <v>44692</v>
      </c>
      <c r="N203" s="2">
        <v>2799.96</v>
      </c>
    </row>
    <row r="204" spans="1:14" ht="15.75" customHeight="1" x14ac:dyDescent="0.3">
      <c r="A204" s="2" t="s">
        <v>351</v>
      </c>
      <c r="B204" s="7">
        <v>45688</v>
      </c>
      <c r="C204" s="2" t="s">
        <v>125</v>
      </c>
      <c r="D204" s="2" t="s">
        <v>126</v>
      </c>
      <c r="E204" s="2" t="s">
        <v>119</v>
      </c>
      <c r="F204" s="2" t="s">
        <v>120</v>
      </c>
      <c r="G204" s="2" t="s">
        <v>21</v>
      </c>
      <c r="H204" s="2">
        <v>2</v>
      </c>
      <c r="I204" s="2">
        <v>89.99</v>
      </c>
      <c r="J204" s="2" t="s">
        <v>59</v>
      </c>
      <c r="K204" s="2" t="s">
        <v>37</v>
      </c>
      <c r="L204" s="2" t="s">
        <v>24</v>
      </c>
      <c r="M204" s="7">
        <v>44777</v>
      </c>
      <c r="N204" s="2">
        <v>179.98</v>
      </c>
    </row>
    <row r="205" spans="1:14" ht="15.75" customHeight="1" x14ac:dyDescent="0.3">
      <c r="A205" s="2" t="s">
        <v>352</v>
      </c>
      <c r="B205" s="7">
        <v>45688</v>
      </c>
      <c r="C205" s="2" t="s">
        <v>44</v>
      </c>
      <c r="D205" s="2" t="s">
        <v>45</v>
      </c>
      <c r="E205" s="2" t="s">
        <v>119</v>
      </c>
      <c r="F205" s="2" t="s">
        <v>120</v>
      </c>
      <c r="G205" s="2" t="s">
        <v>21</v>
      </c>
      <c r="H205" s="2">
        <v>3</v>
      </c>
      <c r="I205" s="2">
        <v>89.99</v>
      </c>
      <c r="J205" s="2" t="s">
        <v>59</v>
      </c>
      <c r="K205" s="2" t="s">
        <v>37</v>
      </c>
      <c r="L205" s="2" t="s">
        <v>29</v>
      </c>
      <c r="M205" s="7">
        <v>45307</v>
      </c>
      <c r="N205" s="2">
        <v>269.97000000000003</v>
      </c>
    </row>
    <row r="206" spans="1:14" ht="15.75" customHeight="1" x14ac:dyDescent="0.3">
      <c r="A206" s="2" t="s">
        <v>353</v>
      </c>
      <c r="B206" s="7">
        <v>45692</v>
      </c>
      <c r="C206" s="2" t="s">
        <v>327</v>
      </c>
      <c r="D206" s="2" t="s">
        <v>328</v>
      </c>
      <c r="E206" s="2" t="s">
        <v>33</v>
      </c>
      <c r="F206" s="2" t="s">
        <v>34</v>
      </c>
      <c r="G206" s="2" t="s">
        <v>35</v>
      </c>
      <c r="H206" s="2">
        <v>1</v>
      </c>
      <c r="I206" s="2">
        <v>59.99</v>
      </c>
      <c r="J206" s="2" t="s">
        <v>59</v>
      </c>
      <c r="K206" s="2" t="s">
        <v>23</v>
      </c>
      <c r="L206" s="2" t="s">
        <v>38</v>
      </c>
      <c r="M206" s="7">
        <v>45045</v>
      </c>
      <c r="N206" s="2">
        <v>59.99</v>
      </c>
    </row>
    <row r="207" spans="1:14" ht="15.75" customHeight="1" x14ac:dyDescent="0.3">
      <c r="A207" s="2" t="s">
        <v>354</v>
      </c>
      <c r="B207" s="7">
        <v>45695</v>
      </c>
      <c r="C207" s="2" t="s">
        <v>248</v>
      </c>
      <c r="D207" s="2" t="s">
        <v>249</v>
      </c>
      <c r="E207" s="2" t="s">
        <v>46</v>
      </c>
      <c r="F207" s="2" t="s">
        <v>47</v>
      </c>
      <c r="G207" s="2" t="s">
        <v>48</v>
      </c>
      <c r="H207" s="2">
        <v>3</v>
      </c>
      <c r="I207" s="2">
        <v>149.99</v>
      </c>
      <c r="J207" s="2" t="s">
        <v>59</v>
      </c>
      <c r="K207" s="2" t="s">
        <v>42</v>
      </c>
      <c r="L207" s="2" t="s">
        <v>29</v>
      </c>
      <c r="M207" s="7">
        <v>44564</v>
      </c>
      <c r="N207" s="2">
        <v>449.97</v>
      </c>
    </row>
    <row r="208" spans="1:14" ht="15.75" customHeight="1" x14ac:dyDescent="0.3">
      <c r="A208" s="2" t="s">
        <v>355</v>
      </c>
      <c r="B208" s="7">
        <v>45695</v>
      </c>
      <c r="C208" s="2" t="s">
        <v>95</v>
      </c>
      <c r="D208" s="2" t="s">
        <v>96</v>
      </c>
      <c r="E208" s="2" t="s">
        <v>107</v>
      </c>
      <c r="F208" s="2" t="s">
        <v>108</v>
      </c>
      <c r="G208" s="2" t="s">
        <v>48</v>
      </c>
      <c r="H208" s="2">
        <v>5</v>
      </c>
      <c r="I208" s="2">
        <v>299.99</v>
      </c>
      <c r="J208" s="2" t="s">
        <v>28</v>
      </c>
      <c r="K208" s="2" t="s">
        <v>37</v>
      </c>
      <c r="L208" s="2" t="s">
        <v>24</v>
      </c>
      <c r="M208" s="7">
        <v>44959</v>
      </c>
      <c r="N208" s="2">
        <v>1499.95</v>
      </c>
    </row>
    <row r="209" spans="1:14" ht="15.75" customHeight="1" x14ac:dyDescent="0.3">
      <c r="A209" s="2" t="s">
        <v>356</v>
      </c>
      <c r="B209" s="7">
        <v>45696</v>
      </c>
      <c r="C209" s="2" t="s">
        <v>152</v>
      </c>
      <c r="D209" s="2" t="s">
        <v>153</v>
      </c>
      <c r="E209" s="2" t="s">
        <v>33</v>
      </c>
      <c r="F209" s="2" t="s">
        <v>34</v>
      </c>
      <c r="G209" s="2" t="s">
        <v>35</v>
      </c>
      <c r="H209" s="2">
        <v>5</v>
      </c>
      <c r="I209" s="2">
        <v>59.99</v>
      </c>
      <c r="J209" s="2" t="s">
        <v>59</v>
      </c>
      <c r="K209" s="2" t="s">
        <v>23</v>
      </c>
      <c r="L209" s="2" t="s">
        <v>38</v>
      </c>
      <c r="M209" s="7">
        <v>45177</v>
      </c>
      <c r="N209" s="2">
        <v>299.95</v>
      </c>
    </row>
    <row r="210" spans="1:14" ht="15.75" customHeight="1" x14ac:dyDescent="0.3">
      <c r="A210" s="2" t="s">
        <v>357</v>
      </c>
      <c r="B210" s="7">
        <v>45701</v>
      </c>
      <c r="C210" s="2" t="s">
        <v>110</v>
      </c>
      <c r="D210" s="2" t="s">
        <v>111</v>
      </c>
      <c r="E210" s="2" t="s">
        <v>116</v>
      </c>
      <c r="F210" s="2" t="s">
        <v>117</v>
      </c>
      <c r="G210" s="2" t="s">
        <v>35</v>
      </c>
      <c r="H210" s="2">
        <v>3</v>
      </c>
      <c r="I210" s="2">
        <v>79.989999999999995</v>
      </c>
      <c r="J210" s="2" t="s">
        <v>22</v>
      </c>
      <c r="K210" s="2" t="s">
        <v>65</v>
      </c>
      <c r="L210" s="2" t="s">
        <v>29</v>
      </c>
      <c r="M210" s="7">
        <v>44436</v>
      </c>
      <c r="N210" s="2">
        <v>239.97</v>
      </c>
    </row>
    <row r="211" spans="1:14" ht="15.75" customHeight="1" x14ac:dyDescent="0.3">
      <c r="A211" s="2" t="s">
        <v>358</v>
      </c>
      <c r="B211" s="7">
        <v>45704</v>
      </c>
      <c r="C211" s="2" t="s">
        <v>31</v>
      </c>
      <c r="D211" s="2" t="s">
        <v>32</v>
      </c>
      <c r="E211" s="2" t="s">
        <v>128</v>
      </c>
      <c r="F211" s="2" t="s">
        <v>129</v>
      </c>
      <c r="G211" s="2" t="s">
        <v>48</v>
      </c>
      <c r="H211" s="2">
        <v>3</v>
      </c>
      <c r="I211" s="2">
        <v>199.99</v>
      </c>
      <c r="J211" s="2" t="s">
        <v>22</v>
      </c>
      <c r="K211" s="2" t="s">
        <v>23</v>
      </c>
      <c r="L211" s="2" t="s">
        <v>24</v>
      </c>
      <c r="M211" s="7">
        <v>44735</v>
      </c>
      <c r="N211" s="2">
        <v>599.97</v>
      </c>
    </row>
    <row r="212" spans="1:14" ht="15.75" customHeight="1" x14ac:dyDescent="0.3">
      <c r="A212" s="2" t="s">
        <v>359</v>
      </c>
      <c r="B212" s="7">
        <v>45704</v>
      </c>
      <c r="C212" s="2" t="s">
        <v>17</v>
      </c>
      <c r="D212" s="2" t="s">
        <v>18</v>
      </c>
      <c r="E212" s="2" t="s">
        <v>119</v>
      </c>
      <c r="F212" s="2" t="s">
        <v>120</v>
      </c>
      <c r="G212" s="2" t="s">
        <v>21</v>
      </c>
      <c r="H212" s="2">
        <v>2</v>
      </c>
      <c r="I212" s="2">
        <v>89.99</v>
      </c>
      <c r="J212" s="2" t="s">
        <v>36</v>
      </c>
      <c r="K212" s="2" t="s">
        <v>23</v>
      </c>
      <c r="L212" s="2" t="s">
        <v>24</v>
      </c>
      <c r="M212" s="7">
        <v>45257</v>
      </c>
      <c r="N212" s="2">
        <v>179.98</v>
      </c>
    </row>
    <row r="213" spans="1:14" ht="15.75" customHeight="1" x14ac:dyDescent="0.3">
      <c r="A213" s="2" t="s">
        <v>360</v>
      </c>
      <c r="B213" s="7">
        <v>45705</v>
      </c>
      <c r="C213" s="2" t="s">
        <v>261</v>
      </c>
      <c r="D213" s="2" t="s">
        <v>262</v>
      </c>
      <c r="E213" s="2" t="s">
        <v>46</v>
      </c>
      <c r="F213" s="2" t="s">
        <v>47</v>
      </c>
      <c r="G213" s="2" t="s">
        <v>48</v>
      </c>
      <c r="H213" s="2">
        <v>2</v>
      </c>
      <c r="I213" s="2">
        <v>149.99</v>
      </c>
      <c r="J213" s="2" t="s">
        <v>22</v>
      </c>
      <c r="K213" s="2" t="s">
        <v>37</v>
      </c>
      <c r="L213" s="2" t="s">
        <v>29</v>
      </c>
      <c r="M213" s="7">
        <v>44728</v>
      </c>
      <c r="N213" s="2">
        <v>299.98</v>
      </c>
    </row>
    <row r="214" spans="1:14" ht="15.75" customHeight="1" x14ac:dyDescent="0.3">
      <c r="A214" s="2" t="s">
        <v>361</v>
      </c>
      <c r="B214" s="7">
        <v>45707</v>
      </c>
      <c r="C214" s="2" t="s">
        <v>125</v>
      </c>
      <c r="D214" s="2" t="s">
        <v>126</v>
      </c>
      <c r="E214" s="2" t="s">
        <v>82</v>
      </c>
      <c r="F214" s="2" t="s">
        <v>83</v>
      </c>
      <c r="G214" s="2" t="s">
        <v>21</v>
      </c>
      <c r="H214" s="2">
        <v>5</v>
      </c>
      <c r="I214" s="2">
        <v>699.99</v>
      </c>
      <c r="J214" s="2" t="s">
        <v>36</v>
      </c>
      <c r="K214" s="2" t="s">
        <v>37</v>
      </c>
      <c r="L214" s="2" t="s">
        <v>29</v>
      </c>
      <c r="M214" s="7">
        <v>45352</v>
      </c>
      <c r="N214" s="2">
        <v>3499.95</v>
      </c>
    </row>
    <row r="215" spans="1:14" ht="15.75" customHeight="1" x14ac:dyDescent="0.3">
      <c r="A215" s="2" t="s">
        <v>362</v>
      </c>
      <c r="B215" s="7">
        <v>45707</v>
      </c>
      <c r="C215" s="2" t="s">
        <v>44</v>
      </c>
      <c r="D215" s="2" t="s">
        <v>45</v>
      </c>
      <c r="E215" s="2" t="s">
        <v>46</v>
      </c>
      <c r="F215" s="2" t="s">
        <v>47</v>
      </c>
      <c r="G215" s="2" t="s">
        <v>48</v>
      </c>
      <c r="H215" s="2">
        <v>3</v>
      </c>
      <c r="I215" s="2">
        <v>149.99</v>
      </c>
      <c r="J215" s="2" t="s">
        <v>36</v>
      </c>
      <c r="K215" s="2" t="s">
        <v>23</v>
      </c>
      <c r="L215" s="2" t="s">
        <v>38</v>
      </c>
      <c r="M215" s="7">
        <v>44633</v>
      </c>
      <c r="N215" s="2">
        <v>449.97</v>
      </c>
    </row>
    <row r="216" spans="1:14" ht="15.75" customHeight="1" x14ac:dyDescent="0.3">
      <c r="A216" s="2" t="s">
        <v>363</v>
      </c>
      <c r="B216" s="7">
        <v>45708</v>
      </c>
      <c r="C216" s="2" t="s">
        <v>98</v>
      </c>
      <c r="D216" s="2" t="s">
        <v>99</v>
      </c>
      <c r="E216" s="2" t="s">
        <v>63</v>
      </c>
      <c r="F216" s="2" t="s">
        <v>64</v>
      </c>
      <c r="G216" s="2" t="s">
        <v>21</v>
      </c>
      <c r="H216" s="2">
        <v>3</v>
      </c>
      <c r="I216" s="2">
        <v>899.99</v>
      </c>
      <c r="J216" s="2" t="s">
        <v>22</v>
      </c>
      <c r="K216" s="2" t="s">
        <v>65</v>
      </c>
      <c r="L216" s="2" t="s">
        <v>38</v>
      </c>
      <c r="M216" s="7">
        <v>44613</v>
      </c>
      <c r="N216" s="2">
        <v>2699.97</v>
      </c>
    </row>
    <row r="217" spans="1:14" ht="15.75" customHeight="1" x14ac:dyDescent="0.3">
      <c r="A217" s="2" t="s">
        <v>364</v>
      </c>
      <c r="B217" s="7">
        <v>45708</v>
      </c>
      <c r="C217" s="2" t="s">
        <v>194</v>
      </c>
      <c r="D217" s="2" t="s">
        <v>195</v>
      </c>
      <c r="E217" s="2" t="s">
        <v>128</v>
      </c>
      <c r="F217" s="2" t="s">
        <v>129</v>
      </c>
      <c r="G217" s="2" t="s">
        <v>48</v>
      </c>
      <c r="H217" s="2">
        <v>3</v>
      </c>
      <c r="I217" s="2">
        <v>199.99</v>
      </c>
      <c r="J217" s="2" t="s">
        <v>22</v>
      </c>
      <c r="K217" s="2" t="s">
        <v>52</v>
      </c>
      <c r="L217" s="2" t="s">
        <v>29</v>
      </c>
      <c r="M217" s="7">
        <v>44823</v>
      </c>
      <c r="N217" s="2">
        <v>599.97</v>
      </c>
    </row>
    <row r="218" spans="1:14" ht="15.75" customHeight="1" x14ac:dyDescent="0.3">
      <c r="A218" s="2" t="s">
        <v>365</v>
      </c>
      <c r="B218" s="7">
        <v>45710</v>
      </c>
      <c r="C218" s="2" t="s">
        <v>57</v>
      </c>
      <c r="D218" s="2" t="s">
        <v>58</v>
      </c>
      <c r="E218" s="2" t="s">
        <v>107</v>
      </c>
      <c r="F218" s="2" t="s">
        <v>108</v>
      </c>
      <c r="G218" s="2" t="s">
        <v>48</v>
      </c>
      <c r="H218" s="2">
        <v>5</v>
      </c>
      <c r="I218" s="2">
        <v>299.99</v>
      </c>
      <c r="J218" s="2" t="s">
        <v>22</v>
      </c>
      <c r="K218" s="2" t="s">
        <v>52</v>
      </c>
      <c r="L218" s="2" t="s">
        <v>38</v>
      </c>
      <c r="M218" s="7">
        <v>45142</v>
      </c>
      <c r="N218" s="2">
        <v>1499.95</v>
      </c>
    </row>
    <row r="219" spans="1:14" ht="15.75" customHeight="1" x14ac:dyDescent="0.3">
      <c r="A219" s="2" t="s">
        <v>366</v>
      </c>
      <c r="B219" s="7">
        <v>45710</v>
      </c>
      <c r="C219" s="2" t="s">
        <v>152</v>
      </c>
      <c r="D219" s="2" t="s">
        <v>153</v>
      </c>
      <c r="E219" s="2" t="s">
        <v>82</v>
      </c>
      <c r="F219" s="2" t="s">
        <v>83</v>
      </c>
      <c r="G219" s="2" t="s">
        <v>21</v>
      </c>
      <c r="H219" s="2">
        <v>1</v>
      </c>
      <c r="I219" s="2">
        <v>699.99</v>
      </c>
      <c r="J219" s="2" t="s">
        <v>36</v>
      </c>
      <c r="K219" s="2" t="s">
        <v>52</v>
      </c>
      <c r="L219" s="2" t="s">
        <v>24</v>
      </c>
      <c r="M219" s="7">
        <v>44934</v>
      </c>
      <c r="N219" s="2">
        <v>699.99</v>
      </c>
    </row>
    <row r="220" spans="1:14" ht="15.75" customHeight="1" x14ac:dyDescent="0.3">
      <c r="A220" s="2" t="s">
        <v>367</v>
      </c>
      <c r="B220" s="7">
        <v>45711</v>
      </c>
      <c r="C220" s="2" t="s">
        <v>248</v>
      </c>
      <c r="D220" s="2" t="s">
        <v>249</v>
      </c>
      <c r="E220" s="2" t="s">
        <v>82</v>
      </c>
      <c r="F220" s="2" t="s">
        <v>83</v>
      </c>
      <c r="G220" s="2" t="s">
        <v>21</v>
      </c>
      <c r="H220" s="2">
        <v>1</v>
      </c>
      <c r="I220" s="2">
        <v>699.99</v>
      </c>
      <c r="J220" s="2" t="s">
        <v>22</v>
      </c>
      <c r="K220" s="2" t="s">
        <v>42</v>
      </c>
      <c r="L220" s="2" t="s">
        <v>29</v>
      </c>
      <c r="M220" s="7">
        <v>44583</v>
      </c>
      <c r="N220" s="2">
        <v>699.99</v>
      </c>
    </row>
    <row r="221" spans="1:14" ht="15.75" customHeight="1" x14ac:dyDescent="0.3">
      <c r="A221" s="2" t="s">
        <v>368</v>
      </c>
      <c r="B221" s="7">
        <v>45711</v>
      </c>
      <c r="C221" s="2" t="s">
        <v>327</v>
      </c>
      <c r="D221" s="2" t="s">
        <v>328</v>
      </c>
      <c r="E221" s="2" t="s">
        <v>46</v>
      </c>
      <c r="F221" s="2" t="s">
        <v>47</v>
      </c>
      <c r="G221" s="2" t="s">
        <v>48</v>
      </c>
      <c r="H221" s="2">
        <v>4</v>
      </c>
      <c r="I221" s="2">
        <v>149.99</v>
      </c>
      <c r="J221" s="2" t="s">
        <v>36</v>
      </c>
      <c r="K221" s="2" t="s">
        <v>42</v>
      </c>
      <c r="L221" s="2" t="s">
        <v>29</v>
      </c>
      <c r="M221" s="7">
        <v>44412</v>
      </c>
      <c r="N221" s="2">
        <v>599.96</v>
      </c>
    </row>
    <row r="222" spans="1:14" ht="15.75" customHeight="1" x14ac:dyDescent="0.3">
      <c r="A222" s="2" t="s">
        <v>369</v>
      </c>
      <c r="B222" s="7">
        <v>45711</v>
      </c>
      <c r="C222" s="2" t="s">
        <v>213</v>
      </c>
      <c r="D222" s="2" t="s">
        <v>214</v>
      </c>
      <c r="E222" s="2" t="s">
        <v>119</v>
      </c>
      <c r="F222" s="2" t="s">
        <v>120</v>
      </c>
      <c r="G222" s="2" t="s">
        <v>21</v>
      </c>
      <c r="H222" s="2">
        <v>5</v>
      </c>
      <c r="I222" s="2">
        <v>89.99</v>
      </c>
      <c r="J222" s="2" t="s">
        <v>36</v>
      </c>
      <c r="K222" s="2" t="s">
        <v>52</v>
      </c>
      <c r="L222" s="2" t="s">
        <v>29</v>
      </c>
      <c r="M222" s="7">
        <v>45140</v>
      </c>
      <c r="N222" s="2">
        <v>449.95</v>
      </c>
    </row>
    <row r="223" spans="1:14" ht="15.75" customHeight="1" x14ac:dyDescent="0.3">
      <c r="A223" s="2" t="s">
        <v>370</v>
      </c>
      <c r="B223" s="7">
        <v>45712</v>
      </c>
      <c r="C223" s="2" t="s">
        <v>140</v>
      </c>
      <c r="D223" s="2" t="s">
        <v>141</v>
      </c>
      <c r="E223" s="2" t="s">
        <v>128</v>
      </c>
      <c r="F223" s="2" t="s">
        <v>129</v>
      </c>
      <c r="G223" s="2" t="s">
        <v>48</v>
      </c>
      <c r="H223" s="2">
        <v>2</v>
      </c>
      <c r="I223" s="2">
        <v>199.99</v>
      </c>
      <c r="J223" s="2" t="s">
        <v>22</v>
      </c>
      <c r="K223" s="2" t="s">
        <v>23</v>
      </c>
      <c r="L223" s="2" t="s">
        <v>29</v>
      </c>
      <c r="M223" s="7">
        <v>44573</v>
      </c>
      <c r="N223" s="2">
        <v>399.98</v>
      </c>
    </row>
    <row r="224" spans="1:14" ht="15.75" customHeight="1" x14ac:dyDescent="0.3">
      <c r="A224" s="2" t="s">
        <v>371</v>
      </c>
      <c r="B224" s="7">
        <v>45715</v>
      </c>
      <c r="C224" s="2" t="s">
        <v>261</v>
      </c>
      <c r="D224" s="2" t="s">
        <v>262</v>
      </c>
      <c r="E224" s="2" t="s">
        <v>33</v>
      </c>
      <c r="F224" s="2" t="s">
        <v>34</v>
      </c>
      <c r="G224" s="2" t="s">
        <v>35</v>
      </c>
      <c r="H224" s="2">
        <v>4</v>
      </c>
      <c r="I224" s="2">
        <v>59.99</v>
      </c>
      <c r="J224" s="2" t="s">
        <v>22</v>
      </c>
      <c r="K224" s="2" t="s">
        <v>52</v>
      </c>
      <c r="L224" s="2" t="s">
        <v>38</v>
      </c>
      <c r="M224" s="7">
        <v>45070</v>
      </c>
      <c r="N224" s="2">
        <v>239.96</v>
      </c>
    </row>
    <row r="225" spans="1:14" ht="15.75" customHeight="1" x14ac:dyDescent="0.3">
      <c r="A225" s="2" t="s">
        <v>372</v>
      </c>
      <c r="B225" s="7">
        <v>45715</v>
      </c>
      <c r="C225" s="2" t="s">
        <v>95</v>
      </c>
      <c r="D225" s="2" t="s">
        <v>96</v>
      </c>
      <c r="E225" s="2" t="s">
        <v>107</v>
      </c>
      <c r="F225" s="2" t="s">
        <v>108</v>
      </c>
      <c r="G225" s="2" t="s">
        <v>48</v>
      </c>
      <c r="H225" s="2">
        <v>2</v>
      </c>
      <c r="I225" s="2">
        <v>299.99</v>
      </c>
      <c r="J225" s="2" t="s">
        <v>36</v>
      </c>
      <c r="K225" s="2" t="s">
        <v>37</v>
      </c>
      <c r="L225" s="2" t="s">
        <v>24</v>
      </c>
      <c r="M225" s="7">
        <v>44576</v>
      </c>
      <c r="N225" s="2">
        <v>599.98</v>
      </c>
    </row>
    <row r="226" spans="1:14" ht="15.75" customHeight="1" x14ac:dyDescent="0.3">
      <c r="A226" s="2" t="s">
        <v>373</v>
      </c>
      <c r="B226" s="7">
        <v>45718</v>
      </c>
      <c r="C226" s="2" t="s">
        <v>57</v>
      </c>
      <c r="D226" s="2" t="s">
        <v>58</v>
      </c>
      <c r="E226" s="2" t="s">
        <v>46</v>
      </c>
      <c r="F226" s="2" t="s">
        <v>47</v>
      </c>
      <c r="G226" s="2" t="s">
        <v>48</v>
      </c>
      <c r="H226" s="2">
        <v>2</v>
      </c>
      <c r="I226" s="2">
        <v>149.99</v>
      </c>
      <c r="J226" s="2" t="s">
        <v>22</v>
      </c>
      <c r="K226" s="2" t="s">
        <v>23</v>
      </c>
      <c r="L226" s="2" t="s">
        <v>24</v>
      </c>
      <c r="M226" s="7">
        <v>45068</v>
      </c>
      <c r="N226" s="2">
        <v>299.98</v>
      </c>
    </row>
    <row r="227" spans="1:14" ht="15.75" customHeight="1" x14ac:dyDescent="0.3">
      <c r="A227" s="2" t="s">
        <v>374</v>
      </c>
      <c r="B227" s="7">
        <v>45720</v>
      </c>
      <c r="C227" s="2" t="s">
        <v>228</v>
      </c>
      <c r="D227" s="2" t="s">
        <v>229</v>
      </c>
      <c r="E227" s="2" t="s">
        <v>82</v>
      </c>
      <c r="F227" s="2" t="s">
        <v>83</v>
      </c>
      <c r="G227" s="2" t="s">
        <v>21</v>
      </c>
      <c r="H227" s="2">
        <v>5</v>
      </c>
      <c r="I227" s="2">
        <v>699.99</v>
      </c>
      <c r="J227" s="2" t="s">
        <v>59</v>
      </c>
      <c r="K227" s="2" t="s">
        <v>65</v>
      </c>
      <c r="L227" s="2" t="s">
        <v>29</v>
      </c>
      <c r="M227" s="7">
        <v>45161</v>
      </c>
      <c r="N227" s="2">
        <v>3499.95</v>
      </c>
    </row>
    <row r="228" spans="1:14" ht="15.75" customHeight="1" x14ac:dyDescent="0.3">
      <c r="A228" s="2" t="s">
        <v>375</v>
      </c>
      <c r="B228" s="7">
        <v>45721</v>
      </c>
      <c r="C228" s="2" t="s">
        <v>77</v>
      </c>
      <c r="D228" s="2" t="s">
        <v>78</v>
      </c>
      <c r="E228" s="2" t="s">
        <v>33</v>
      </c>
      <c r="F228" s="2" t="s">
        <v>34</v>
      </c>
      <c r="G228" s="2" t="s">
        <v>35</v>
      </c>
      <c r="H228" s="2">
        <v>5</v>
      </c>
      <c r="I228" s="2">
        <v>59.99</v>
      </c>
      <c r="J228" s="2" t="s">
        <v>22</v>
      </c>
      <c r="K228" s="2" t="s">
        <v>52</v>
      </c>
      <c r="L228" s="2" t="s">
        <v>29</v>
      </c>
      <c r="M228" s="7">
        <v>45291</v>
      </c>
      <c r="N228" s="2">
        <v>299.95</v>
      </c>
    </row>
    <row r="229" spans="1:14" ht="15.75" customHeight="1" x14ac:dyDescent="0.3">
      <c r="A229" s="2" t="s">
        <v>376</v>
      </c>
      <c r="B229" s="7">
        <v>45723</v>
      </c>
      <c r="C229" s="2" t="s">
        <v>17</v>
      </c>
      <c r="D229" s="2" t="s">
        <v>18</v>
      </c>
      <c r="E229" s="2" t="s">
        <v>119</v>
      </c>
      <c r="F229" s="2" t="s">
        <v>120</v>
      </c>
      <c r="G229" s="2" t="s">
        <v>21</v>
      </c>
      <c r="H229" s="2">
        <v>2</v>
      </c>
      <c r="I229" s="2">
        <v>89.99</v>
      </c>
      <c r="J229" s="2" t="s">
        <v>28</v>
      </c>
      <c r="K229" s="2" t="s">
        <v>52</v>
      </c>
      <c r="L229" s="2" t="s">
        <v>29</v>
      </c>
      <c r="M229" s="7">
        <v>45295</v>
      </c>
      <c r="N229" s="2">
        <v>179.98</v>
      </c>
    </row>
    <row r="230" spans="1:14" ht="15.75" customHeight="1" x14ac:dyDescent="0.3">
      <c r="A230" s="2" t="s">
        <v>377</v>
      </c>
      <c r="B230" s="7">
        <v>45723</v>
      </c>
      <c r="C230" s="2" t="s">
        <v>122</v>
      </c>
      <c r="D230" s="2" t="s">
        <v>123</v>
      </c>
      <c r="E230" s="2" t="s">
        <v>19</v>
      </c>
      <c r="F230" s="2" t="s">
        <v>20</v>
      </c>
      <c r="G230" s="2" t="s">
        <v>21</v>
      </c>
      <c r="H230" s="2">
        <v>5</v>
      </c>
      <c r="I230" s="2">
        <v>249.99</v>
      </c>
      <c r="J230" s="2" t="s">
        <v>22</v>
      </c>
      <c r="K230" s="2" t="s">
        <v>65</v>
      </c>
      <c r="L230" s="2" t="s">
        <v>38</v>
      </c>
      <c r="M230" s="7">
        <v>44540</v>
      </c>
      <c r="N230" s="2">
        <v>1249.95</v>
      </c>
    </row>
    <row r="231" spans="1:14" ht="15.75" customHeight="1" x14ac:dyDescent="0.3">
      <c r="A231" s="2" t="s">
        <v>378</v>
      </c>
      <c r="B231" s="7">
        <v>45724</v>
      </c>
      <c r="C231" s="2" t="s">
        <v>228</v>
      </c>
      <c r="D231" s="2" t="s">
        <v>229</v>
      </c>
      <c r="E231" s="2" t="s">
        <v>46</v>
      </c>
      <c r="F231" s="2" t="s">
        <v>47</v>
      </c>
      <c r="G231" s="2" t="s">
        <v>48</v>
      </c>
      <c r="H231" s="2">
        <v>2</v>
      </c>
      <c r="I231" s="2">
        <v>149.99</v>
      </c>
      <c r="J231" s="2" t="s">
        <v>36</v>
      </c>
      <c r="K231" s="2" t="s">
        <v>23</v>
      </c>
      <c r="L231" s="2" t="s">
        <v>29</v>
      </c>
      <c r="M231" s="7">
        <v>44632</v>
      </c>
      <c r="N231" s="2">
        <v>299.98</v>
      </c>
    </row>
    <row r="232" spans="1:14" ht="15.75" customHeight="1" x14ac:dyDescent="0.3">
      <c r="A232" s="2" t="s">
        <v>379</v>
      </c>
      <c r="B232" s="7">
        <v>45724</v>
      </c>
      <c r="C232" s="2" t="s">
        <v>146</v>
      </c>
      <c r="D232" s="2" t="s">
        <v>147</v>
      </c>
      <c r="E232" s="2" t="s">
        <v>63</v>
      </c>
      <c r="F232" s="2" t="s">
        <v>64</v>
      </c>
      <c r="G232" s="2" t="s">
        <v>21</v>
      </c>
      <c r="H232" s="2">
        <v>5</v>
      </c>
      <c r="I232" s="2">
        <v>899.99</v>
      </c>
      <c r="J232" s="2" t="s">
        <v>36</v>
      </c>
      <c r="K232" s="2" t="s">
        <v>65</v>
      </c>
      <c r="L232" s="2" t="s">
        <v>29</v>
      </c>
      <c r="M232" s="7">
        <v>45389</v>
      </c>
      <c r="N232" s="2">
        <v>4499.95</v>
      </c>
    </row>
    <row r="233" spans="1:14" ht="15.75" customHeight="1" x14ac:dyDescent="0.3">
      <c r="A233" s="2" t="s">
        <v>380</v>
      </c>
      <c r="B233" s="7">
        <v>45724</v>
      </c>
      <c r="C233" s="2" t="s">
        <v>57</v>
      </c>
      <c r="D233" s="2" t="s">
        <v>58</v>
      </c>
      <c r="E233" s="2" t="s">
        <v>46</v>
      </c>
      <c r="F233" s="2" t="s">
        <v>47</v>
      </c>
      <c r="G233" s="2" t="s">
        <v>48</v>
      </c>
      <c r="H233" s="2">
        <v>4</v>
      </c>
      <c r="I233" s="2">
        <v>149.99</v>
      </c>
      <c r="J233" s="2" t="s">
        <v>22</v>
      </c>
      <c r="K233" s="2" t="s">
        <v>23</v>
      </c>
      <c r="L233" s="2" t="s">
        <v>38</v>
      </c>
      <c r="M233" s="7">
        <v>45263</v>
      </c>
      <c r="N233" s="2">
        <v>599.96</v>
      </c>
    </row>
    <row r="234" spans="1:14" ht="15.75" customHeight="1" x14ac:dyDescent="0.3">
      <c r="A234" s="2" t="s">
        <v>381</v>
      </c>
      <c r="B234" s="7">
        <v>45726</v>
      </c>
      <c r="C234" s="2" t="s">
        <v>146</v>
      </c>
      <c r="D234" s="2" t="s">
        <v>147</v>
      </c>
      <c r="E234" s="2" t="s">
        <v>19</v>
      </c>
      <c r="F234" s="2" t="s">
        <v>20</v>
      </c>
      <c r="G234" s="2" t="s">
        <v>21</v>
      </c>
      <c r="H234" s="2">
        <v>1</v>
      </c>
      <c r="I234" s="2">
        <v>249.99</v>
      </c>
      <c r="J234" s="2" t="s">
        <v>22</v>
      </c>
      <c r="K234" s="2" t="s">
        <v>42</v>
      </c>
      <c r="L234" s="2" t="s">
        <v>38</v>
      </c>
      <c r="M234" s="7">
        <v>45117</v>
      </c>
      <c r="N234" s="2">
        <v>249.99</v>
      </c>
    </row>
    <row r="235" spans="1:14" ht="15.75" customHeight="1" x14ac:dyDescent="0.3">
      <c r="A235" s="2" t="s">
        <v>382</v>
      </c>
      <c r="B235" s="7">
        <v>45734</v>
      </c>
      <c r="C235" s="2" t="s">
        <v>194</v>
      </c>
      <c r="D235" s="2" t="s">
        <v>195</v>
      </c>
      <c r="E235" s="2" t="s">
        <v>33</v>
      </c>
      <c r="F235" s="2" t="s">
        <v>34</v>
      </c>
      <c r="G235" s="2" t="s">
        <v>35</v>
      </c>
      <c r="H235" s="2">
        <v>2</v>
      </c>
      <c r="I235" s="2">
        <v>59.99</v>
      </c>
      <c r="J235" s="2" t="s">
        <v>28</v>
      </c>
      <c r="K235" s="2" t="s">
        <v>52</v>
      </c>
      <c r="L235" s="2" t="s">
        <v>24</v>
      </c>
      <c r="M235" s="7">
        <v>45193</v>
      </c>
      <c r="N235" s="2">
        <v>119.98</v>
      </c>
    </row>
    <row r="236" spans="1:14" ht="15.75" customHeight="1" x14ac:dyDescent="0.3">
      <c r="A236" s="2" t="s">
        <v>383</v>
      </c>
      <c r="B236" s="7">
        <v>45737</v>
      </c>
      <c r="C236" s="2" t="s">
        <v>134</v>
      </c>
      <c r="D236" s="2" t="s">
        <v>135</v>
      </c>
      <c r="E236" s="2" t="s">
        <v>46</v>
      </c>
      <c r="F236" s="2" t="s">
        <v>47</v>
      </c>
      <c r="G236" s="2" t="s">
        <v>48</v>
      </c>
      <c r="H236" s="2">
        <v>2</v>
      </c>
      <c r="I236" s="2">
        <v>149.99</v>
      </c>
      <c r="J236" s="2" t="s">
        <v>22</v>
      </c>
      <c r="K236" s="2" t="s">
        <v>52</v>
      </c>
      <c r="L236" s="2" t="s">
        <v>29</v>
      </c>
      <c r="M236" s="7">
        <v>45233</v>
      </c>
      <c r="N236" s="2">
        <v>299.98</v>
      </c>
    </row>
    <row r="237" spans="1:14" ht="15.75" customHeight="1" x14ac:dyDescent="0.3">
      <c r="A237" s="2" t="s">
        <v>384</v>
      </c>
      <c r="B237" s="7">
        <v>45737</v>
      </c>
      <c r="C237" s="2" t="s">
        <v>152</v>
      </c>
      <c r="D237" s="2" t="s">
        <v>153</v>
      </c>
      <c r="E237" s="2" t="s">
        <v>63</v>
      </c>
      <c r="F237" s="2" t="s">
        <v>64</v>
      </c>
      <c r="G237" s="2" t="s">
        <v>21</v>
      </c>
      <c r="H237" s="2">
        <v>3</v>
      </c>
      <c r="I237" s="2">
        <v>899.99</v>
      </c>
      <c r="J237" s="2" t="s">
        <v>59</v>
      </c>
      <c r="K237" s="2" t="s">
        <v>42</v>
      </c>
      <c r="L237" s="2" t="s">
        <v>29</v>
      </c>
      <c r="M237" s="7">
        <v>44876</v>
      </c>
      <c r="N237" s="2">
        <v>2699.97</v>
      </c>
    </row>
    <row r="238" spans="1:14" ht="15.75" customHeight="1" x14ac:dyDescent="0.3">
      <c r="A238" s="2" t="s">
        <v>385</v>
      </c>
      <c r="B238" s="7">
        <v>45737</v>
      </c>
      <c r="C238" s="2" t="s">
        <v>50</v>
      </c>
      <c r="D238" s="2" t="s">
        <v>51</v>
      </c>
      <c r="E238" s="2" t="s">
        <v>63</v>
      </c>
      <c r="F238" s="2" t="s">
        <v>64</v>
      </c>
      <c r="G238" s="2" t="s">
        <v>21</v>
      </c>
      <c r="H238" s="2">
        <v>3</v>
      </c>
      <c r="I238" s="2">
        <v>899.99</v>
      </c>
      <c r="J238" s="2" t="s">
        <v>36</v>
      </c>
      <c r="K238" s="2" t="s">
        <v>42</v>
      </c>
      <c r="L238" s="2" t="s">
        <v>24</v>
      </c>
      <c r="M238" s="7">
        <v>44975</v>
      </c>
      <c r="N238" s="2">
        <v>2699.97</v>
      </c>
    </row>
    <row r="239" spans="1:14" ht="15.75" customHeight="1" x14ac:dyDescent="0.3">
      <c r="A239" s="2" t="s">
        <v>386</v>
      </c>
      <c r="B239" s="7">
        <v>45739</v>
      </c>
      <c r="C239" s="2" t="s">
        <v>17</v>
      </c>
      <c r="D239" s="2" t="s">
        <v>18</v>
      </c>
      <c r="E239" s="2" t="s">
        <v>107</v>
      </c>
      <c r="F239" s="2" t="s">
        <v>108</v>
      </c>
      <c r="G239" s="2" t="s">
        <v>48</v>
      </c>
      <c r="H239" s="2">
        <v>3</v>
      </c>
      <c r="I239" s="2">
        <v>299.99</v>
      </c>
      <c r="J239" s="2" t="s">
        <v>28</v>
      </c>
      <c r="K239" s="2" t="s">
        <v>52</v>
      </c>
      <c r="L239" s="2" t="s">
        <v>29</v>
      </c>
      <c r="M239" s="7">
        <v>45234</v>
      </c>
      <c r="N239" s="2">
        <v>899.97</v>
      </c>
    </row>
    <row r="240" spans="1:14" ht="15.75" customHeight="1" x14ac:dyDescent="0.3">
      <c r="A240" s="2" t="s">
        <v>387</v>
      </c>
      <c r="B240" s="7">
        <v>45740</v>
      </c>
      <c r="C240" s="2" t="s">
        <v>388</v>
      </c>
      <c r="D240" s="2" t="s">
        <v>389</v>
      </c>
      <c r="E240" s="2" t="s">
        <v>46</v>
      </c>
      <c r="F240" s="2" t="s">
        <v>47</v>
      </c>
      <c r="G240" s="2" t="s">
        <v>48</v>
      </c>
      <c r="H240" s="2">
        <v>4</v>
      </c>
      <c r="I240" s="2">
        <v>149.99</v>
      </c>
      <c r="J240" s="2" t="s">
        <v>36</v>
      </c>
      <c r="K240" s="2" t="s">
        <v>52</v>
      </c>
      <c r="L240" s="2" t="s">
        <v>38</v>
      </c>
      <c r="M240" s="7">
        <v>44560</v>
      </c>
      <c r="N240" s="2">
        <v>599.96</v>
      </c>
    </row>
    <row r="241" spans="1:14" ht="15.75" customHeight="1" x14ac:dyDescent="0.3">
      <c r="A241" s="2" t="s">
        <v>390</v>
      </c>
      <c r="B241" s="7">
        <v>45743</v>
      </c>
      <c r="C241" s="2" t="s">
        <v>104</v>
      </c>
      <c r="D241" s="2" t="s">
        <v>105</v>
      </c>
      <c r="E241" s="2" t="s">
        <v>116</v>
      </c>
      <c r="F241" s="2" t="s">
        <v>117</v>
      </c>
      <c r="G241" s="2" t="s">
        <v>35</v>
      </c>
      <c r="H241" s="2">
        <v>4</v>
      </c>
      <c r="I241" s="2">
        <v>79.989999999999995</v>
      </c>
      <c r="J241" s="2" t="s">
        <v>28</v>
      </c>
      <c r="K241" s="2" t="s">
        <v>23</v>
      </c>
      <c r="L241" s="2" t="s">
        <v>24</v>
      </c>
      <c r="M241" s="7">
        <v>45288</v>
      </c>
      <c r="N241" s="2">
        <v>319.95999999999998</v>
      </c>
    </row>
    <row r="242" spans="1:14" ht="15.75" customHeight="1" x14ac:dyDescent="0.3">
      <c r="A242" s="2" t="s">
        <v>391</v>
      </c>
      <c r="B242" s="7">
        <v>45745</v>
      </c>
      <c r="C242" s="2" t="s">
        <v>187</v>
      </c>
      <c r="D242" s="2" t="s">
        <v>188</v>
      </c>
      <c r="E242" s="2" t="s">
        <v>119</v>
      </c>
      <c r="F242" s="2" t="s">
        <v>120</v>
      </c>
      <c r="G242" s="2" t="s">
        <v>21</v>
      </c>
      <c r="H242" s="2">
        <v>5</v>
      </c>
      <c r="I242" s="2">
        <v>89.99</v>
      </c>
      <c r="J242" s="2" t="s">
        <v>36</v>
      </c>
      <c r="K242" s="2" t="s">
        <v>37</v>
      </c>
      <c r="L242" s="2" t="s">
        <v>24</v>
      </c>
      <c r="M242" s="7">
        <v>44704</v>
      </c>
      <c r="N242" s="2">
        <v>449.95</v>
      </c>
    </row>
    <row r="243" spans="1:14" ht="15.75" customHeight="1" x14ac:dyDescent="0.3">
      <c r="A243" s="2" t="s">
        <v>392</v>
      </c>
      <c r="B243" s="7">
        <v>45746</v>
      </c>
      <c r="C243" s="2" t="s">
        <v>95</v>
      </c>
      <c r="D243" s="2" t="s">
        <v>96</v>
      </c>
      <c r="E243" s="2" t="s">
        <v>46</v>
      </c>
      <c r="F243" s="2" t="s">
        <v>47</v>
      </c>
      <c r="G243" s="2" t="s">
        <v>48</v>
      </c>
      <c r="H243" s="2">
        <v>3</v>
      </c>
      <c r="I243" s="2">
        <v>149.99</v>
      </c>
      <c r="J243" s="2" t="s">
        <v>36</v>
      </c>
      <c r="K243" s="2" t="s">
        <v>23</v>
      </c>
      <c r="L243" s="2" t="s">
        <v>38</v>
      </c>
      <c r="M243" s="7">
        <v>45171</v>
      </c>
      <c r="N243" s="2">
        <v>449.97</v>
      </c>
    </row>
    <row r="244" spans="1:14" ht="15.75" customHeight="1" x14ac:dyDescent="0.3">
      <c r="A244" s="2" t="s">
        <v>393</v>
      </c>
      <c r="B244" s="7">
        <v>45746</v>
      </c>
      <c r="C244" s="2" t="s">
        <v>67</v>
      </c>
      <c r="D244" s="2" t="s">
        <v>68</v>
      </c>
      <c r="E244" s="2" t="s">
        <v>119</v>
      </c>
      <c r="F244" s="2" t="s">
        <v>120</v>
      </c>
      <c r="G244" s="2" t="s">
        <v>21</v>
      </c>
      <c r="H244" s="2">
        <v>2</v>
      </c>
      <c r="I244" s="2">
        <v>89.99</v>
      </c>
      <c r="J244" s="2" t="s">
        <v>59</v>
      </c>
      <c r="K244" s="2" t="s">
        <v>52</v>
      </c>
      <c r="L244" s="2" t="s">
        <v>29</v>
      </c>
      <c r="M244" s="7">
        <v>44522</v>
      </c>
      <c r="N244" s="2">
        <v>179.98</v>
      </c>
    </row>
    <row r="245" spans="1:14" ht="15.75" customHeight="1" x14ac:dyDescent="0.3">
      <c r="A245" s="2" t="s">
        <v>394</v>
      </c>
      <c r="B245" s="7">
        <v>45748</v>
      </c>
      <c r="C245" s="2" t="s">
        <v>104</v>
      </c>
      <c r="D245" s="2" t="s">
        <v>105</v>
      </c>
      <c r="E245" s="2" t="s">
        <v>82</v>
      </c>
      <c r="F245" s="2" t="s">
        <v>83</v>
      </c>
      <c r="G245" s="2" t="s">
        <v>21</v>
      </c>
      <c r="H245" s="2">
        <v>2</v>
      </c>
      <c r="I245" s="2">
        <v>699.99</v>
      </c>
      <c r="J245" s="2" t="s">
        <v>36</v>
      </c>
      <c r="K245" s="2" t="s">
        <v>42</v>
      </c>
      <c r="L245" s="2" t="s">
        <v>38</v>
      </c>
      <c r="M245" s="7">
        <v>44618</v>
      </c>
      <c r="N245" s="2">
        <v>1399.98</v>
      </c>
    </row>
    <row r="246" spans="1:14" ht="15.75" customHeight="1" x14ac:dyDescent="0.3">
      <c r="A246" s="2" t="s">
        <v>395</v>
      </c>
      <c r="B246" s="7">
        <v>45749</v>
      </c>
      <c r="C246" s="2" t="s">
        <v>125</v>
      </c>
      <c r="D246" s="2" t="s">
        <v>126</v>
      </c>
      <c r="E246" s="2" t="s">
        <v>63</v>
      </c>
      <c r="F246" s="2" t="s">
        <v>64</v>
      </c>
      <c r="G246" s="2" t="s">
        <v>21</v>
      </c>
      <c r="H246" s="2">
        <v>3</v>
      </c>
      <c r="I246" s="2">
        <v>899.99</v>
      </c>
      <c r="J246" s="2" t="s">
        <v>22</v>
      </c>
      <c r="K246" s="2" t="s">
        <v>23</v>
      </c>
      <c r="L246" s="2" t="s">
        <v>38</v>
      </c>
      <c r="M246" s="7">
        <v>44953</v>
      </c>
      <c r="N246" s="2">
        <v>2699.97</v>
      </c>
    </row>
    <row r="247" spans="1:14" ht="15.75" customHeight="1" x14ac:dyDescent="0.3">
      <c r="A247" s="2" t="s">
        <v>396</v>
      </c>
      <c r="B247" s="7">
        <v>45755</v>
      </c>
      <c r="C247" s="2" t="s">
        <v>95</v>
      </c>
      <c r="D247" s="2" t="s">
        <v>96</v>
      </c>
      <c r="E247" s="2" t="s">
        <v>116</v>
      </c>
      <c r="F247" s="2" t="s">
        <v>117</v>
      </c>
      <c r="G247" s="2" t="s">
        <v>35</v>
      </c>
      <c r="H247" s="2">
        <v>3</v>
      </c>
      <c r="I247" s="2">
        <v>79.989999999999995</v>
      </c>
      <c r="J247" s="2" t="s">
        <v>28</v>
      </c>
      <c r="K247" s="2" t="s">
        <v>42</v>
      </c>
      <c r="L247" s="2" t="s">
        <v>24</v>
      </c>
      <c r="M247" s="7">
        <v>44511</v>
      </c>
      <c r="N247" s="2">
        <v>239.97</v>
      </c>
    </row>
    <row r="248" spans="1:14" ht="15.75" customHeight="1" x14ac:dyDescent="0.3">
      <c r="A248" s="2" t="s">
        <v>397</v>
      </c>
      <c r="B248" s="7">
        <v>45756</v>
      </c>
      <c r="C248" s="2" t="s">
        <v>61</v>
      </c>
      <c r="D248" s="2" t="s">
        <v>62</v>
      </c>
      <c r="E248" s="2" t="s">
        <v>119</v>
      </c>
      <c r="F248" s="2" t="s">
        <v>120</v>
      </c>
      <c r="G248" s="2" t="s">
        <v>21</v>
      </c>
      <c r="H248" s="2">
        <v>1</v>
      </c>
      <c r="I248" s="2">
        <v>89.99</v>
      </c>
      <c r="J248" s="2" t="s">
        <v>59</v>
      </c>
      <c r="K248" s="2" t="s">
        <v>65</v>
      </c>
      <c r="L248" s="2" t="s">
        <v>24</v>
      </c>
      <c r="M248" s="7">
        <v>45346</v>
      </c>
      <c r="N248" s="2">
        <v>89.99</v>
      </c>
    </row>
    <row r="249" spans="1:14" ht="15.75" customHeight="1" x14ac:dyDescent="0.3">
      <c r="A249" s="2" t="s">
        <v>398</v>
      </c>
      <c r="B249" s="7">
        <v>45758</v>
      </c>
      <c r="C249" s="2" t="s">
        <v>295</v>
      </c>
      <c r="D249" s="2" t="s">
        <v>296</v>
      </c>
      <c r="E249" s="2" t="s">
        <v>82</v>
      </c>
      <c r="F249" s="2" t="s">
        <v>83</v>
      </c>
      <c r="G249" s="2" t="s">
        <v>21</v>
      </c>
      <c r="H249" s="2">
        <v>3</v>
      </c>
      <c r="I249" s="2">
        <v>699.99</v>
      </c>
      <c r="J249" s="2" t="s">
        <v>36</v>
      </c>
      <c r="K249" s="2" t="s">
        <v>42</v>
      </c>
      <c r="L249" s="2" t="s">
        <v>24</v>
      </c>
      <c r="M249" s="7">
        <v>44909</v>
      </c>
      <c r="N249" s="2">
        <v>2099.9699999999998</v>
      </c>
    </row>
    <row r="250" spans="1:14" ht="15.75" customHeight="1" x14ac:dyDescent="0.3">
      <c r="A250" s="2" t="s">
        <v>399</v>
      </c>
      <c r="B250" s="7">
        <v>45758</v>
      </c>
      <c r="C250" s="2" t="s">
        <v>228</v>
      </c>
      <c r="D250" s="2" t="s">
        <v>229</v>
      </c>
      <c r="E250" s="2" t="s">
        <v>119</v>
      </c>
      <c r="F250" s="2" t="s">
        <v>120</v>
      </c>
      <c r="G250" s="2" t="s">
        <v>21</v>
      </c>
      <c r="H250" s="2">
        <v>2</v>
      </c>
      <c r="I250" s="2">
        <v>89.99</v>
      </c>
      <c r="J250" s="2" t="s">
        <v>59</v>
      </c>
      <c r="K250" s="2" t="s">
        <v>65</v>
      </c>
      <c r="L250" s="2" t="s">
        <v>24</v>
      </c>
      <c r="M250" s="7">
        <v>45088</v>
      </c>
      <c r="N250" s="2">
        <v>179.98</v>
      </c>
    </row>
    <row r="251" spans="1:14" ht="15.75" customHeight="1" x14ac:dyDescent="0.3">
      <c r="A251" s="2" t="s">
        <v>400</v>
      </c>
      <c r="B251" s="7">
        <v>45758</v>
      </c>
      <c r="C251" s="2" t="s">
        <v>140</v>
      </c>
      <c r="D251" s="2" t="s">
        <v>141</v>
      </c>
      <c r="E251" s="2" t="s">
        <v>119</v>
      </c>
      <c r="F251" s="2" t="s">
        <v>120</v>
      </c>
      <c r="G251" s="2" t="s">
        <v>21</v>
      </c>
      <c r="H251" s="2">
        <v>3</v>
      </c>
      <c r="I251" s="2">
        <v>89.99</v>
      </c>
      <c r="J251" s="2" t="s">
        <v>59</v>
      </c>
      <c r="K251" s="2" t="s">
        <v>42</v>
      </c>
      <c r="L251" s="2" t="s">
        <v>29</v>
      </c>
      <c r="M251" s="7">
        <v>44878</v>
      </c>
      <c r="N251" s="2">
        <v>269.97000000000003</v>
      </c>
    </row>
    <row r="252" spans="1:14" ht="15.75" customHeight="1" x14ac:dyDescent="0.3"/>
    <row r="253" spans="1:14" ht="15.75" customHeight="1" x14ac:dyDescent="0.3"/>
    <row r="254" spans="1:14" ht="15.75" customHeight="1" x14ac:dyDescent="0.3"/>
    <row r="255" spans="1:14" ht="15.75" customHeight="1" x14ac:dyDescent="0.3"/>
    <row r="256" spans="1:14"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575B-2B13-4D30-B177-65F22486A130}">
  <dimension ref="A1:R101"/>
  <sheetViews>
    <sheetView topLeftCell="A25" zoomScale="115" zoomScaleNormal="115" workbookViewId="0">
      <selection activeCell="C35" sqref="C35"/>
    </sheetView>
  </sheetViews>
  <sheetFormatPr defaultRowHeight="14.4" x14ac:dyDescent="0.3"/>
  <cols>
    <col min="1" max="1" width="8.88671875" style="4"/>
    <col min="2" max="2" width="11.44140625" style="4" customWidth="1"/>
    <col min="3" max="3" width="8.88671875" style="4"/>
    <col min="4" max="4" width="26" style="4" bestFit="1" customWidth="1"/>
    <col min="5" max="5" width="17.6640625" style="4" bestFit="1" customWidth="1"/>
    <col min="6" max="6" width="14.109375" style="4" customWidth="1"/>
    <col min="7" max="7" width="12.88671875" style="4" bestFit="1" customWidth="1"/>
    <col min="8" max="8" width="15.21875" style="4" bestFit="1" customWidth="1"/>
    <col min="9" max="9" width="18.21875" style="4" bestFit="1" customWidth="1"/>
    <col min="10" max="10" width="13.77734375" style="4" bestFit="1" customWidth="1"/>
    <col min="11" max="11" width="12.5546875" style="4" bestFit="1" customWidth="1"/>
    <col min="12" max="12" width="13.109375" style="4" bestFit="1" customWidth="1"/>
    <col min="13" max="13" width="12.5546875" style="4" bestFit="1" customWidth="1"/>
    <col min="14" max="14" width="16.44140625" style="4" bestFit="1" customWidth="1"/>
    <col min="15" max="15" width="6.77734375" style="4" bestFit="1" customWidth="1"/>
    <col min="16" max="16" width="17.77734375" style="4" bestFit="1" customWidth="1"/>
    <col min="17" max="17" width="14.6640625" style="4" bestFit="1" customWidth="1"/>
    <col min="18" max="18" width="13.21875" style="4" bestFit="1" customWidth="1"/>
    <col min="19" max="16384" width="8.88671875" style="4"/>
  </cols>
  <sheetData>
    <row r="1" spans="1:18" x14ac:dyDescent="0.3">
      <c r="A1" s="28" t="s">
        <v>401</v>
      </c>
      <c r="B1" s="28"/>
      <c r="C1" s="9"/>
      <c r="D1" s="10" t="s">
        <v>403</v>
      </c>
      <c r="E1" s="10" t="s">
        <v>3</v>
      </c>
      <c r="F1" s="11">
        <v>45409</v>
      </c>
    </row>
    <row r="2" spans="1:18" x14ac:dyDescent="0.3">
      <c r="E2" s="10" t="s">
        <v>402</v>
      </c>
      <c r="F2" s="15" t="s">
        <v>21</v>
      </c>
    </row>
    <row r="3" spans="1:18" x14ac:dyDescent="0.3">
      <c r="E3" s="10"/>
    </row>
    <row r="5" spans="1:18" x14ac:dyDescent="0.3">
      <c r="E5" s="12" t="s">
        <v>2</v>
      </c>
      <c r="F5" s="13" t="s">
        <v>3</v>
      </c>
      <c r="G5" s="13" t="s">
        <v>4</v>
      </c>
      <c r="H5" s="13" t="s">
        <v>5</v>
      </c>
      <c r="I5" s="13" t="s">
        <v>6</v>
      </c>
      <c r="J5" s="13" t="s">
        <v>7</v>
      </c>
      <c r="K5" s="13" t="s">
        <v>8</v>
      </c>
      <c r="L5" s="13" t="s">
        <v>9</v>
      </c>
      <c r="M5" s="13" t="s">
        <v>10</v>
      </c>
      <c r="N5" s="13" t="s">
        <v>11</v>
      </c>
      <c r="O5" s="13" t="s">
        <v>12</v>
      </c>
      <c r="P5" s="13" t="s">
        <v>13</v>
      </c>
      <c r="Q5" s="13" t="s">
        <v>14</v>
      </c>
      <c r="R5" s="14" t="s">
        <v>15</v>
      </c>
    </row>
    <row r="6" spans="1:18" x14ac:dyDescent="0.3">
      <c r="E6" s="4" t="str" cm="1">
        <f t="array" ref="E6:R7">IFERROR(_xlfn._xlws.FILTER(sales_data[],(sales_data[Date]=F1)*(sales_data[Category]=F2)),"Data is not given!")</f>
        <v>TRX0191</v>
      </c>
      <c r="F6" s="4">
        <v>45409</v>
      </c>
      <c r="G6" s="4" t="str">
        <v>CUST038</v>
      </c>
      <c r="H6" s="4" t="str">
        <v>Michelle Rogers</v>
      </c>
      <c r="I6" s="4" t="str">
        <v>P002</v>
      </c>
      <c r="J6" s="4" t="str">
        <v>Smartphone</v>
      </c>
      <c r="K6" s="4" t="str">
        <v>Electronics</v>
      </c>
      <c r="L6" s="4">
        <v>3</v>
      </c>
      <c r="M6" s="4">
        <v>699.99</v>
      </c>
      <c r="N6" s="4" t="str">
        <v>Credit Card</v>
      </c>
      <c r="O6" s="4" t="str">
        <v>West</v>
      </c>
      <c r="P6" s="4" t="str">
        <v>Basic</v>
      </c>
      <c r="Q6" s="4">
        <v>44577</v>
      </c>
      <c r="R6" s="4">
        <v>2099.9699999999998</v>
      </c>
    </row>
    <row r="7" spans="1:18" x14ac:dyDescent="0.3">
      <c r="E7" s="4" t="str">
        <v>TRX0230</v>
      </c>
      <c r="F7" s="4">
        <v>45409</v>
      </c>
      <c r="G7" s="4" t="str">
        <v>CUST027</v>
      </c>
      <c r="H7" s="4" t="str">
        <v>George Adams</v>
      </c>
      <c r="I7" s="4" t="str">
        <v>P001</v>
      </c>
      <c r="J7" s="4" t="str">
        <v>Laptop</v>
      </c>
      <c r="K7" s="4" t="str">
        <v>Electronics</v>
      </c>
      <c r="L7" s="4">
        <v>1</v>
      </c>
      <c r="M7" s="4">
        <v>899.99</v>
      </c>
      <c r="N7" s="4" t="str">
        <v>Debit Card</v>
      </c>
      <c r="O7" s="4" t="str">
        <v>North</v>
      </c>
      <c r="P7" s="4" t="str">
        <v>Standard</v>
      </c>
      <c r="Q7" s="4">
        <v>44920</v>
      </c>
      <c r="R7" s="4">
        <v>899.99</v>
      </c>
    </row>
    <row r="10" spans="1:18" x14ac:dyDescent="0.3">
      <c r="E10" s="10" t="s">
        <v>402</v>
      </c>
      <c r="F10" s="10" t="s">
        <v>405</v>
      </c>
    </row>
    <row r="11" spans="1:18" x14ac:dyDescent="0.3">
      <c r="D11" s="10" t="s">
        <v>404</v>
      </c>
      <c r="E11" s="4" t="str" cm="1">
        <f t="array" ref="E11:F13">_xlfn.GROUPBY(sales_data[Category],sales_data[Total_Amount],_xleta.SUM,0,0)</f>
        <v>Appliances</v>
      </c>
      <c r="F11" s="4">
        <v>8338.7399999999961</v>
      </c>
    </row>
    <row r="12" spans="1:18" x14ac:dyDescent="0.3">
      <c r="E12" s="4" t="str">
        <v>Electronics</v>
      </c>
      <c r="F12" s="4">
        <v>171756.05000000013</v>
      </c>
    </row>
    <row r="13" spans="1:18" x14ac:dyDescent="0.3">
      <c r="E13" s="4" t="str">
        <v>Furniture</v>
      </c>
      <c r="F13" s="4">
        <v>49097.680000000015</v>
      </c>
    </row>
    <row r="16" spans="1:18" x14ac:dyDescent="0.3">
      <c r="D16" s="10" t="s">
        <v>406</v>
      </c>
      <c r="E16" s="10"/>
    </row>
    <row r="17" spans="4:13" x14ac:dyDescent="0.3">
      <c r="E17" s="10"/>
      <c r="F17" s="15"/>
    </row>
    <row r="18" spans="4:13" x14ac:dyDescent="0.3">
      <c r="E18" s="10"/>
      <c r="F18" s="19"/>
    </row>
    <row r="19" spans="4:13" x14ac:dyDescent="0.3">
      <c r="E19" s="10"/>
    </row>
    <row r="20" spans="4:13" x14ac:dyDescent="0.3">
      <c r="E20" s="10"/>
    </row>
    <row r="21" spans="4:13" x14ac:dyDescent="0.3">
      <c r="E21" s="10"/>
    </row>
    <row r="22" spans="4:13" x14ac:dyDescent="0.3">
      <c r="E22" s="10"/>
    </row>
    <row r="24" spans="4:13" ht="15" thickBot="1" x14ac:dyDescent="0.35">
      <c r="D24" s="10" t="s">
        <v>407</v>
      </c>
      <c r="E24" s="28" t="s">
        <v>408</v>
      </c>
      <c r="F24" s="28"/>
      <c r="G24" s="28"/>
      <c r="H24" s="28"/>
      <c r="I24" s="28"/>
      <c r="J24" s="28"/>
      <c r="K24" s="28"/>
      <c r="L24" s="28"/>
      <c r="M24" s="28"/>
    </row>
    <row r="25" spans="4:13" x14ac:dyDescent="0.3">
      <c r="E25" s="29" t="s">
        <v>409</v>
      </c>
      <c r="F25" s="29"/>
      <c r="G25" s="17"/>
      <c r="H25" s="17"/>
      <c r="I25" s="17"/>
      <c r="J25" s="17"/>
      <c r="K25" s="17"/>
      <c r="L25" s="17"/>
      <c r="M25" s="17"/>
    </row>
    <row r="26" spans="4:13" x14ac:dyDescent="0.3">
      <c r="E26" s="17" t="s">
        <v>410</v>
      </c>
      <c r="F26" s="17">
        <v>0.92884475314278125</v>
      </c>
      <c r="G26" s="17"/>
      <c r="H26" s="8" t="s">
        <v>434</v>
      </c>
      <c r="I26" s="17" t="s">
        <v>437</v>
      </c>
      <c r="J26" s="17"/>
      <c r="K26" s="17"/>
      <c r="L26" s="17"/>
      <c r="M26" s="17"/>
    </row>
    <row r="27" spans="4:13" x14ac:dyDescent="0.3">
      <c r="E27" s="17" t="s">
        <v>411</v>
      </c>
      <c r="F27" s="17">
        <v>0.86275257544087425</v>
      </c>
      <c r="G27" s="17"/>
      <c r="H27" s="8" t="s">
        <v>435</v>
      </c>
      <c r="I27" s="17" t="s">
        <v>436</v>
      </c>
      <c r="J27" s="17"/>
      <c r="K27" s="17"/>
      <c r="L27" s="17"/>
      <c r="M27" s="17"/>
    </row>
    <row r="28" spans="4:13" x14ac:dyDescent="0.3">
      <c r="E28" s="17" t="s">
        <v>412</v>
      </c>
      <c r="F28" s="17">
        <v>0.86164126026225785</v>
      </c>
      <c r="G28" s="17"/>
      <c r="H28" s="17"/>
      <c r="I28" s="17"/>
      <c r="J28" s="17"/>
      <c r="K28" s="17"/>
      <c r="L28" s="17"/>
      <c r="M28" s="17"/>
    </row>
    <row r="29" spans="4:13" x14ac:dyDescent="0.3">
      <c r="E29" s="17" t="s">
        <v>413</v>
      </c>
      <c r="F29" s="17">
        <v>384.0374977385618</v>
      </c>
      <c r="G29" s="17"/>
      <c r="H29" s="17"/>
      <c r="I29" s="17"/>
      <c r="J29" s="17"/>
      <c r="K29" s="17"/>
      <c r="L29" s="17"/>
      <c r="M29" s="17"/>
    </row>
    <row r="30" spans="4:13" ht="15" thickBot="1" x14ac:dyDescent="0.35">
      <c r="E30" s="18" t="s">
        <v>414</v>
      </c>
      <c r="F30" s="18">
        <v>250</v>
      </c>
      <c r="G30" s="17"/>
      <c r="H30" s="17"/>
      <c r="I30" s="17"/>
      <c r="J30" s="17"/>
      <c r="K30" s="17"/>
      <c r="L30" s="17"/>
      <c r="M30" s="17"/>
    </row>
    <row r="31" spans="4:13" x14ac:dyDescent="0.3">
      <c r="E31" s="17"/>
      <c r="F31" s="17"/>
      <c r="G31" s="17"/>
      <c r="H31" s="17"/>
      <c r="I31" s="17"/>
      <c r="J31" s="17"/>
      <c r="K31" s="17"/>
      <c r="L31" s="17"/>
      <c r="M31" s="17"/>
    </row>
    <row r="32" spans="4:13" ht="15" thickBot="1" x14ac:dyDescent="0.35">
      <c r="E32" s="17" t="s">
        <v>415</v>
      </c>
      <c r="F32" s="17"/>
      <c r="G32" s="17"/>
      <c r="H32" s="17"/>
      <c r="I32" s="17"/>
      <c r="J32" s="17"/>
      <c r="K32" s="17"/>
      <c r="L32" s="17"/>
      <c r="M32" s="17"/>
    </row>
    <row r="33" spans="4:13" x14ac:dyDescent="0.3">
      <c r="E33" s="16"/>
      <c r="F33" s="16" t="s">
        <v>420</v>
      </c>
      <c r="G33" s="16" t="s">
        <v>421</v>
      </c>
      <c r="H33" s="16" t="s">
        <v>422</v>
      </c>
      <c r="I33" s="16" t="s">
        <v>423</v>
      </c>
      <c r="J33" s="16" t="s">
        <v>424</v>
      </c>
      <c r="K33" s="17"/>
      <c r="L33" s="17"/>
      <c r="M33" s="17"/>
    </row>
    <row r="34" spans="4:13" x14ac:dyDescent="0.3">
      <c r="E34" s="17" t="s">
        <v>416</v>
      </c>
      <c r="F34" s="17">
        <v>2</v>
      </c>
      <c r="G34" s="17">
        <v>228995145.93418038</v>
      </c>
      <c r="H34" s="17">
        <v>114497572.96709019</v>
      </c>
      <c r="I34" s="17">
        <v>776.33473567328497</v>
      </c>
      <c r="J34" s="17">
        <v>3.0322789780406021E-107</v>
      </c>
      <c r="K34" s="17"/>
      <c r="L34" s="17"/>
      <c r="M34" s="17"/>
    </row>
    <row r="35" spans="4:13" x14ac:dyDescent="0.3">
      <c r="E35" s="17" t="s">
        <v>417</v>
      </c>
      <c r="F35" s="17">
        <v>247</v>
      </c>
      <c r="G35" s="17">
        <v>36428745.518316083</v>
      </c>
      <c r="H35" s="17">
        <v>147484.79966929587</v>
      </c>
      <c r="I35" s="17"/>
      <c r="J35" s="17"/>
      <c r="K35" s="17"/>
      <c r="L35" s="17"/>
      <c r="M35" s="17"/>
    </row>
    <row r="36" spans="4:13" ht="15" thickBot="1" x14ac:dyDescent="0.35">
      <c r="E36" s="18" t="s">
        <v>418</v>
      </c>
      <c r="F36" s="18">
        <v>249</v>
      </c>
      <c r="G36" s="18">
        <v>265423891.45249647</v>
      </c>
      <c r="H36" s="18"/>
      <c r="I36" s="18"/>
      <c r="J36" s="18"/>
      <c r="K36" s="17"/>
      <c r="L36" s="17"/>
      <c r="M36" s="17"/>
    </row>
    <row r="37" spans="4:13" ht="15" thickBot="1" x14ac:dyDescent="0.35">
      <c r="E37" s="17"/>
      <c r="F37" s="17"/>
      <c r="G37" s="17"/>
      <c r="H37" s="17"/>
      <c r="I37" s="17"/>
      <c r="J37" s="17"/>
      <c r="K37" s="17"/>
      <c r="L37" s="17"/>
      <c r="M37" s="17"/>
    </row>
    <row r="38" spans="4:13" x14ac:dyDescent="0.3">
      <c r="E38" s="16"/>
      <c r="F38" s="16" t="s">
        <v>425</v>
      </c>
      <c r="G38" s="16" t="s">
        <v>413</v>
      </c>
      <c r="H38" s="16" t="s">
        <v>426</v>
      </c>
      <c r="I38" s="16" t="s">
        <v>427</v>
      </c>
      <c r="J38" s="16" t="s">
        <v>428</v>
      </c>
      <c r="K38" s="16" t="s">
        <v>429</v>
      </c>
      <c r="L38" s="16" t="s">
        <v>430</v>
      </c>
      <c r="M38" s="16" t="s">
        <v>431</v>
      </c>
    </row>
    <row r="39" spans="4:13" x14ac:dyDescent="0.3">
      <c r="E39" s="17" t="s">
        <v>419</v>
      </c>
      <c r="F39" s="17">
        <v>-931.80858592721211</v>
      </c>
      <c r="G39" s="17">
        <v>64.176586128214524</v>
      </c>
      <c r="H39" s="17">
        <v>-14.519447701153938</v>
      </c>
      <c r="I39" s="17">
        <v>5.9491879084023646E-35</v>
      </c>
      <c r="J39" s="17">
        <v>-1058.211736902633</v>
      </c>
      <c r="K39" s="17">
        <v>-805.40543495179111</v>
      </c>
      <c r="L39" s="17">
        <v>-1058.211736902633</v>
      </c>
      <c r="M39" s="17">
        <v>-805.40543495179111</v>
      </c>
    </row>
    <row r="40" spans="4:13" x14ac:dyDescent="0.3">
      <c r="E40" s="17" t="s">
        <v>432</v>
      </c>
      <c r="F40" s="17">
        <v>314.1458836929956</v>
      </c>
      <c r="G40" s="17">
        <v>18.242562242139332</v>
      </c>
      <c r="H40" s="17">
        <v>17.220491262314873</v>
      </c>
      <c r="I40" s="17">
        <v>3.4020507945743832E-44</v>
      </c>
      <c r="J40" s="17">
        <v>278.21506392852888</v>
      </c>
      <c r="K40" s="17">
        <v>350.07670345746232</v>
      </c>
      <c r="L40" s="17">
        <v>278.21506392852888</v>
      </c>
      <c r="M40" s="17">
        <v>350.07670345746232</v>
      </c>
    </row>
    <row r="41" spans="4:13" ht="15" thickBot="1" x14ac:dyDescent="0.35">
      <c r="E41" s="18" t="s">
        <v>433</v>
      </c>
      <c r="F41" s="18">
        <v>3.0416660405295799</v>
      </c>
      <c r="G41" s="18">
        <v>8.8733343256966732E-2</v>
      </c>
      <c r="H41" s="18">
        <v>34.278726901127655</v>
      </c>
      <c r="I41" s="18">
        <v>7.2446245379651108E-96</v>
      </c>
      <c r="J41" s="18">
        <v>2.8668955383739165</v>
      </c>
      <c r="K41" s="18">
        <v>3.2164365426852433</v>
      </c>
      <c r="L41" s="18">
        <v>2.8668955383739165</v>
      </c>
      <c r="M41" s="18">
        <v>3.2164365426852433</v>
      </c>
    </row>
    <row r="42" spans="4:13" x14ac:dyDescent="0.3">
      <c r="E42"/>
      <c r="F42"/>
      <c r="G42"/>
      <c r="H42"/>
      <c r="I42"/>
      <c r="J42"/>
      <c r="K42"/>
      <c r="L42"/>
      <c r="M42"/>
    </row>
    <row r="43" spans="4:13" x14ac:dyDescent="0.3">
      <c r="E43"/>
      <c r="F43"/>
      <c r="G43"/>
      <c r="H43"/>
      <c r="I43"/>
      <c r="J43"/>
      <c r="K43"/>
      <c r="L43"/>
      <c r="M43"/>
    </row>
    <row r="44" spans="4:13" x14ac:dyDescent="0.3">
      <c r="E44"/>
      <c r="F44"/>
      <c r="G44"/>
      <c r="H44"/>
      <c r="I44"/>
      <c r="J44"/>
      <c r="K44"/>
      <c r="L44"/>
      <c r="M44"/>
    </row>
    <row r="45" spans="4:13" x14ac:dyDescent="0.3">
      <c r="D45" s="10" t="s">
        <v>438</v>
      </c>
      <c r="E45" s="4" t="str" cm="1">
        <f t="array" ref="E45:F45">INDEX(_xlfn._xlws.SORT(_xlfn.GROUPBY(sales_data[Customer_Name],sales_data[Total_Amount],_xleta.SUM,0,0),2,-1),1,0)</f>
        <v>Mark Carter</v>
      </c>
      <c r="F45" s="4">
        <v>15659.65</v>
      </c>
    </row>
    <row r="48" spans="4:13" x14ac:dyDescent="0.3">
      <c r="D48" s="10" t="s">
        <v>439</v>
      </c>
      <c r="E48" s="4" t="str" cm="1">
        <f t="array" ref="E48">INDEX(sales_data[Product_Name],MODE(MATCH(sales_data[Product_Name],sales_data[Product_Name],0)))</f>
        <v>Bookshelf</v>
      </c>
    </row>
    <row r="50" spans="4:6" x14ac:dyDescent="0.3">
      <c r="D50" s="10" t="s">
        <v>440</v>
      </c>
      <c r="E50" s="20"/>
      <c r="F50" s="20"/>
    </row>
    <row r="51" spans="4:6" x14ac:dyDescent="0.3">
      <c r="E51" s="6"/>
      <c r="F51" s="6"/>
    </row>
    <row r="52" spans="4:6" x14ac:dyDescent="0.3">
      <c r="D52" s="10" t="s">
        <v>441</v>
      </c>
      <c r="E52" s="6" t="str" cm="1">
        <f t="array" ref="E52:F101">_xlfn.GROUPBY(sales_data[Customer_Name],sales_data[Total_Amount],_xleta.SUM,0,0)</f>
        <v>Arthur Edwards</v>
      </c>
      <c r="F52" s="6">
        <v>1559.94</v>
      </c>
    </row>
    <row r="53" spans="4:6" x14ac:dyDescent="0.3">
      <c r="E53" s="6" t="str">
        <v>Barbara Young</v>
      </c>
      <c r="F53" s="6">
        <v>10649.8</v>
      </c>
    </row>
    <row r="54" spans="4:6" x14ac:dyDescent="0.3">
      <c r="E54" s="4" t="str">
        <v>Betty Campbell</v>
      </c>
      <c r="F54" s="4">
        <v>5649.84</v>
      </c>
    </row>
    <row r="55" spans="4:6" x14ac:dyDescent="0.3">
      <c r="E55" s="4" t="str">
        <v>Carol Evans</v>
      </c>
      <c r="F55" s="4">
        <v>1149.93</v>
      </c>
    </row>
    <row r="56" spans="4:6" x14ac:dyDescent="0.3">
      <c r="E56" s="4" t="str">
        <v>Charles Allen</v>
      </c>
      <c r="F56" s="4">
        <v>5089.7300000000005</v>
      </c>
    </row>
    <row r="57" spans="4:6" x14ac:dyDescent="0.3">
      <c r="E57" s="4" t="str">
        <v>Cynthia Price</v>
      </c>
      <c r="F57" s="4">
        <v>3769.8300000000004</v>
      </c>
    </row>
    <row r="58" spans="4:6" x14ac:dyDescent="0.3">
      <c r="E58" s="4" t="str">
        <v>Daniel King</v>
      </c>
      <c r="F58" s="4">
        <v>7309.7999999999993</v>
      </c>
    </row>
    <row r="59" spans="4:6" x14ac:dyDescent="0.3">
      <c r="E59" s="4" t="str">
        <v>David Martinez</v>
      </c>
      <c r="F59" s="4">
        <v>1809.84</v>
      </c>
    </row>
    <row r="60" spans="4:6" x14ac:dyDescent="0.3">
      <c r="E60" s="4" t="str">
        <v>Dennis Gray</v>
      </c>
      <c r="F60" s="4">
        <v>479.91999999999996</v>
      </c>
    </row>
    <row r="61" spans="4:6" x14ac:dyDescent="0.3">
      <c r="E61" s="4" t="str">
        <v>Dorothy Nelson</v>
      </c>
      <c r="F61" s="4">
        <v>8269.7900000000009</v>
      </c>
    </row>
    <row r="62" spans="4:6" x14ac:dyDescent="0.3">
      <c r="E62" s="4" t="str">
        <v>Douglas Watson</v>
      </c>
      <c r="F62" s="4">
        <v>4829.8899999999994</v>
      </c>
    </row>
    <row r="63" spans="4:6" x14ac:dyDescent="0.3">
      <c r="E63" s="4" t="str">
        <v>Edward Mitchell</v>
      </c>
      <c r="F63" s="4">
        <v>11919.769999999999</v>
      </c>
    </row>
    <row r="64" spans="4:6" x14ac:dyDescent="0.3">
      <c r="E64" s="4" t="str">
        <v>Elizabeth Hall</v>
      </c>
      <c r="F64" s="4">
        <v>3649.8599999999997</v>
      </c>
    </row>
    <row r="65" spans="5:6" x14ac:dyDescent="0.3">
      <c r="E65" s="4" t="str">
        <v>Emma Wilson</v>
      </c>
      <c r="F65" s="4">
        <v>1229.8800000000001</v>
      </c>
    </row>
    <row r="66" spans="5:6" x14ac:dyDescent="0.3">
      <c r="E66" s="4" t="str">
        <v>Frank Torres</v>
      </c>
      <c r="F66" s="4">
        <v>1479.91</v>
      </c>
    </row>
    <row r="67" spans="5:6" x14ac:dyDescent="0.3">
      <c r="E67" s="4" t="str">
        <v>George Adams</v>
      </c>
      <c r="F67" s="4">
        <v>3779.93</v>
      </c>
    </row>
    <row r="68" spans="5:6" x14ac:dyDescent="0.3">
      <c r="E68" s="4" t="str">
        <v>Gerald Murphy</v>
      </c>
      <c r="F68" s="4">
        <v>6379.87</v>
      </c>
    </row>
    <row r="69" spans="5:6" x14ac:dyDescent="0.3">
      <c r="E69" s="4" t="str">
        <v>Harry Morgan</v>
      </c>
      <c r="F69" s="4">
        <v>5519.8899999999994</v>
      </c>
    </row>
    <row r="70" spans="5:6" x14ac:dyDescent="0.3">
      <c r="E70" s="4" t="str">
        <v>Helen Roberts</v>
      </c>
      <c r="F70" s="4">
        <v>6459.79</v>
      </c>
    </row>
    <row r="71" spans="5:6" x14ac:dyDescent="0.3">
      <c r="E71" s="4" t="str">
        <v>James Johnson</v>
      </c>
      <c r="F71" s="4">
        <v>179.97</v>
      </c>
    </row>
    <row r="72" spans="5:6" x14ac:dyDescent="0.3">
      <c r="E72" s="4" t="str">
        <v>Jennifer Taylor</v>
      </c>
      <c r="F72" s="4">
        <v>4739.8500000000004</v>
      </c>
    </row>
    <row r="73" spans="5:6" x14ac:dyDescent="0.3">
      <c r="E73" s="4" t="str">
        <v>John Smith</v>
      </c>
      <c r="F73" s="4">
        <v>599.96</v>
      </c>
    </row>
    <row r="74" spans="5:6" x14ac:dyDescent="0.3">
      <c r="E74" s="4" t="str">
        <v>Joseph Jackson</v>
      </c>
      <c r="F74" s="4">
        <v>6949.84</v>
      </c>
    </row>
    <row r="75" spans="5:6" x14ac:dyDescent="0.3">
      <c r="E75" s="4" t="str">
        <v>Julie Foster</v>
      </c>
      <c r="F75" s="4">
        <v>239.96</v>
      </c>
    </row>
    <row r="76" spans="5:6" x14ac:dyDescent="0.3">
      <c r="E76" s="4" t="str">
        <v>Karen Hill</v>
      </c>
      <c r="F76" s="4">
        <v>8009.7699999999995</v>
      </c>
    </row>
    <row r="77" spans="5:6" x14ac:dyDescent="0.3">
      <c r="E77" s="4" t="str">
        <v>Kathleen Bennett</v>
      </c>
      <c r="F77" s="4">
        <v>4309.8099999999995</v>
      </c>
    </row>
    <row r="78" spans="5:6" x14ac:dyDescent="0.3">
      <c r="E78" s="4" t="str">
        <v>Kevin Scott</v>
      </c>
      <c r="F78" s="4">
        <v>3259.87</v>
      </c>
    </row>
    <row r="79" spans="5:6" x14ac:dyDescent="0.3">
      <c r="E79" s="4" t="str">
        <v>Lawrence Reed</v>
      </c>
      <c r="F79" s="4">
        <v>6989.7699999999986</v>
      </c>
    </row>
    <row r="80" spans="5:6" x14ac:dyDescent="0.3">
      <c r="E80" s="4" t="str">
        <v>Linda Martin</v>
      </c>
      <c r="F80" s="4">
        <v>1289.9000000000001</v>
      </c>
    </row>
    <row r="81" spans="5:6" x14ac:dyDescent="0.3">
      <c r="E81" s="4" t="str">
        <v>Lisa Anderson</v>
      </c>
      <c r="F81" s="4">
        <v>2039.8000000000002</v>
      </c>
    </row>
    <row r="82" spans="5:6" x14ac:dyDescent="0.3">
      <c r="E82" s="4" t="str">
        <v>Margaret Wright</v>
      </c>
      <c r="F82" s="4">
        <v>2099.88</v>
      </c>
    </row>
    <row r="83" spans="5:6" x14ac:dyDescent="0.3">
      <c r="E83" s="4" t="str">
        <v>Maria Garcia</v>
      </c>
      <c r="F83" s="4">
        <v>1909.93</v>
      </c>
    </row>
    <row r="84" spans="5:6" x14ac:dyDescent="0.3">
      <c r="E84" s="4" t="str">
        <v>Mark Carter</v>
      </c>
      <c r="F84" s="4">
        <v>15659.65</v>
      </c>
    </row>
    <row r="85" spans="5:6" x14ac:dyDescent="0.3">
      <c r="E85" s="4" t="str">
        <v>Michael Brown</v>
      </c>
      <c r="F85" s="4">
        <v>6169.7400000000007</v>
      </c>
    </row>
    <row r="86" spans="5:6" x14ac:dyDescent="0.3">
      <c r="E86" s="4" t="str">
        <v>Michelle Rogers</v>
      </c>
      <c r="F86" s="4">
        <v>4199.9399999999996</v>
      </c>
    </row>
    <row r="87" spans="5:6" x14ac:dyDescent="0.3">
      <c r="E87" s="4" t="str">
        <v>Nancy Collins</v>
      </c>
      <c r="F87" s="4">
        <v>4189.7700000000004</v>
      </c>
    </row>
    <row r="88" spans="5:6" x14ac:dyDescent="0.3">
      <c r="E88" s="4" t="str">
        <v>Patricia Moore</v>
      </c>
      <c r="F88" s="4">
        <v>9799.73</v>
      </c>
    </row>
    <row r="89" spans="5:6" x14ac:dyDescent="0.3">
      <c r="E89" s="4" t="str">
        <v>Paul Baker</v>
      </c>
      <c r="F89" s="4">
        <v>8309.739999999998</v>
      </c>
    </row>
    <row r="90" spans="5:6" x14ac:dyDescent="0.3">
      <c r="E90" s="4" t="str">
        <v>Peter Richardson</v>
      </c>
      <c r="F90" s="4">
        <v>5949.85</v>
      </c>
    </row>
    <row r="91" spans="5:6" x14ac:dyDescent="0.3">
      <c r="E91" s="4" t="str">
        <v>Raymond Ross</v>
      </c>
      <c r="F91" s="4">
        <v>3669.8500000000004</v>
      </c>
    </row>
    <row r="92" spans="5:6" x14ac:dyDescent="0.3">
      <c r="E92" s="4" t="str">
        <v>Richard Lee</v>
      </c>
      <c r="F92" s="4">
        <v>739.93000000000006</v>
      </c>
    </row>
    <row r="93" spans="5:6" x14ac:dyDescent="0.3">
      <c r="E93" s="4" t="str">
        <v>Robert Thomas</v>
      </c>
      <c r="F93" s="4">
        <v>3509.8999999999996</v>
      </c>
    </row>
    <row r="94" spans="5:6" x14ac:dyDescent="0.3">
      <c r="E94" s="4" t="str">
        <v>Ruth Brooks</v>
      </c>
      <c r="F94" s="4">
        <v>1749.92</v>
      </c>
    </row>
    <row r="95" spans="5:6" x14ac:dyDescent="0.3">
      <c r="E95" s="4" t="str">
        <v>Sandra Phillips</v>
      </c>
      <c r="F95" s="4">
        <v>6349.83</v>
      </c>
    </row>
    <row r="96" spans="5:6" x14ac:dyDescent="0.3">
      <c r="E96" s="4" t="str">
        <v>Sarah Davis</v>
      </c>
      <c r="F96" s="4">
        <v>5499.8099999999995</v>
      </c>
    </row>
    <row r="97" spans="5:6" x14ac:dyDescent="0.3">
      <c r="E97" s="4" t="str">
        <v>Sharon Butler</v>
      </c>
      <c r="F97" s="4">
        <v>5619.869999999999</v>
      </c>
    </row>
    <row r="98" spans="5:6" x14ac:dyDescent="0.3">
      <c r="E98" s="4" t="str">
        <v>Steven Turner</v>
      </c>
      <c r="F98" s="4">
        <v>2649.83</v>
      </c>
    </row>
    <row r="99" spans="5:6" x14ac:dyDescent="0.3">
      <c r="E99" s="4" t="str">
        <v>Susan Green</v>
      </c>
      <c r="F99" s="4">
        <v>1979.89</v>
      </c>
    </row>
    <row r="100" spans="5:6" x14ac:dyDescent="0.3">
      <c r="E100" s="4" t="str">
        <v>Virginia Sanders</v>
      </c>
      <c r="F100" s="4">
        <v>4789.7900000000009</v>
      </c>
    </row>
    <row r="101" spans="5:6" x14ac:dyDescent="0.3">
      <c r="E101" s="4" t="str">
        <v>William White</v>
      </c>
      <c r="F101" s="4">
        <v>4749.91</v>
      </c>
    </row>
  </sheetData>
  <mergeCells count="3">
    <mergeCell ref="A1:B1"/>
    <mergeCell ref="E24:M24"/>
    <mergeCell ref="E25:F25"/>
  </mergeCells>
  <conditionalFormatting sqref="F11:F13">
    <cfRule type="iconSet" priority="1">
      <iconSet iconSet="3Arrows">
        <cfvo type="percent" val="0"/>
        <cfvo type="percent" val="33"/>
        <cfvo type="percent" val="67"/>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D850-F620-4427-9AB5-E263A3C820EB}">
  <dimension ref="A1:P201"/>
  <sheetViews>
    <sheetView zoomScale="87" zoomScaleNormal="115" workbookViewId="0">
      <selection activeCell="A6" sqref="A6"/>
    </sheetView>
  </sheetViews>
  <sheetFormatPr defaultRowHeight="14.4" x14ac:dyDescent="0.3"/>
  <cols>
    <col min="1" max="1" width="12" style="6" bestFit="1" customWidth="1"/>
    <col min="2" max="3" width="20.44140625" style="6" bestFit="1" customWidth="1"/>
    <col min="4" max="4" width="20.88671875" style="6" bestFit="1" customWidth="1"/>
    <col min="5" max="5" width="19.77734375" style="6" bestFit="1" customWidth="1"/>
    <col min="6" max="6" width="15.5546875" style="6" bestFit="1" customWidth="1"/>
    <col min="7" max="7" width="17.77734375" style="6" bestFit="1" customWidth="1"/>
    <col min="8" max="8" width="19.77734375" style="6" customWidth="1"/>
    <col min="9" max="9" width="8.88671875" style="6" customWidth="1"/>
    <col min="10" max="10" width="18.21875" style="6" bestFit="1" customWidth="1"/>
    <col min="11" max="11" width="19.77734375" style="6" bestFit="1" customWidth="1"/>
    <col min="12" max="12" width="8.88671875" style="6"/>
    <col min="13" max="13" width="15.5546875" style="6" bestFit="1" customWidth="1"/>
    <col min="14" max="14" width="17.77734375" style="6" bestFit="1" customWidth="1"/>
    <col min="15" max="15" width="19.77734375" style="6" bestFit="1" customWidth="1"/>
    <col min="16" max="16" width="8.77734375" style="6" customWidth="1"/>
    <col min="17" max="17" width="19.6640625" style="6" bestFit="1" customWidth="1"/>
    <col min="18" max="18" width="19.77734375" style="6" bestFit="1" customWidth="1"/>
    <col min="19" max="16384" width="8.88671875" style="6"/>
  </cols>
  <sheetData>
    <row r="1" spans="1:16" x14ac:dyDescent="0.3">
      <c r="A1" s="30" t="s">
        <v>448</v>
      </c>
      <c r="B1" s="30"/>
    </row>
    <row r="2" spans="1:16" ht="14.4" customHeight="1" x14ac:dyDescent="0.3">
      <c r="A2" s="30"/>
      <c r="B2" s="30"/>
    </row>
    <row r="3" spans="1:16" ht="14.4" customHeight="1" x14ac:dyDescent="0.3">
      <c r="A3" s="26"/>
      <c r="B3" s="26"/>
    </row>
    <row r="5" spans="1:16" ht="14.4" customHeight="1" x14ac:dyDescent="0.3">
      <c r="A5" s="21" t="s">
        <v>12</v>
      </c>
      <c r="B5" s="6" t="s">
        <v>443</v>
      </c>
      <c r="E5" s="23"/>
      <c r="F5" s="22"/>
      <c r="G5" s="22"/>
      <c r="H5" s="22"/>
      <c r="I5" s="22"/>
      <c r="J5" s="22"/>
      <c r="K5" s="22"/>
    </row>
    <row r="6" spans="1:16" x14ac:dyDescent="0.3">
      <c r="A6" s="6" t="s">
        <v>65</v>
      </c>
      <c r="B6" s="32">
        <v>59288.389999999992</v>
      </c>
      <c r="E6" s="22"/>
      <c r="F6" s="22"/>
      <c r="G6" s="22"/>
      <c r="H6" s="22"/>
      <c r="I6" s="22"/>
      <c r="J6" s="22"/>
      <c r="K6" s="22"/>
    </row>
    <row r="7" spans="1:16" x14ac:dyDescent="0.3">
      <c r="A7" s="6" t="s">
        <v>42</v>
      </c>
      <c r="B7" s="32">
        <v>50808.310000000012</v>
      </c>
      <c r="E7" s="22"/>
      <c r="F7" s="22"/>
      <c r="G7" s="22"/>
      <c r="H7" s="22"/>
      <c r="I7" s="22"/>
      <c r="J7" s="22"/>
      <c r="K7" s="22"/>
    </row>
    <row r="8" spans="1:16" x14ac:dyDescent="0.3">
      <c r="A8" s="6" t="s">
        <v>52</v>
      </c>
      <c r="B8" s="32">
        <v>41408.680000000015</v>
      </c>
      <c r="E8" s="22"/>
      <c r="F8" s="22"/>
      <c r="G8" s="22"/>
      <c r="H8" s="22"/>
      <c r="I8" s="22"/>
      <c r="J8" s="22"/>
      <c r="K8" s="22"/>
    </row>
    <row r="9" spans="1:16" x14ac:dyDescent="0.3">
      <c r="A9" s="6" t="s">
        <v>23</v>
      </c>
      <c r="B9" s="32">
        <v>41288.340000000018</v>
      </c>
      <c r="E9" s="22"/>
      <c r="F9" s="22"/>
      <c r="G9" s="22"/>
      <c r="H9" s="22"/>
      <c r="I9" s="22"/>
      <c r="J9" s="22"/>
      <c r="K9" s="22"/>
    </row>
    <row r="10" spans="1:16" x14ac:dyDescent="0.3">
      <c r="A10" s="6" t="s">
        <v>37</v>
      </c>
      <c r="B10" s="32">
        <v>36398.750000000007</v>
      </c>
    </row>
    <row r="11" spans="1:16" x14ac:dyDescent="0.3">
      <c r="A11" s="6" t="s">
        <v>442</v>
      </c>
      <c r="B11" s="32">
        <v>229192.47000000006</v>
      </c>
      <c r="P11"/>
    </row>
    <row r="12" spans="1:16" x14ac:dyDescent="0.3">
      <c r="P12"/>
    </row>
    <row r="13" spans="1:16" x14ac:dyDescent="0.3">
      <c r="P13"/>
    </row>
    <row r="14" spans="1:16" x14ac:dyDescent="0.3">
      <c r="P14"/>
    </row>
    <row r="15" spans="1:16" x14ac:dyDescent="0.3">
      <c r="M15"/>
      <c r="N15"/>
      <c r="O15"/>
      <c r="P15"/>
    </row>
    <row r="16" spans="1:16" x14ac:dyDescent="0.3">
      <c r="A16" s="21" t="s">
        <v>11</v>
      </c>
      <c r="B16" s="6" t="s">
        <v>443</v>
      </c>
      <c r="G16"/>
      <c r="H16"/>
      <c r="M16"/>
      <c r="N16"/>
      <c r="O16"/>
      <c r="P16"/>
    </row>
    <row r="17" spans="1:16" x14ac:dyDescent="0.3">
      <c r="A17" s="6" t="s">
        <v>28</v>
      </c>
      <c r="B17" s="6">
        <v>61447.960000000014</v>
      </c>
      <c r="D17"/>
      <c r="E17"/>
      <c r="M17"/>
      <c r="N17"/>
      <c r="O17"/>
      <c r="P17"/>
    </row>
    <row r="18" spans="1:16" x14ac:dyDescent="0.3">
      <c r="A18" s="6" t="s">
        <v>36</v>
      </c>
      <c r="B18" s="6">
        <v>58198.409999999996</v>
      </c>
      <c r="M18"/>
      <c r="N18"/>
      <c r="O18"/>
      <c r="P18"/>
    </row>
    <row r="19" spans="1:16" x14ac:dyDescent="0.3">
      <c r="A19" s="6" t="s">
        <v>22</v>
      </c>
      <c r="B19" s="6">
        <v>57427.790000000023</v>
      </c>
      <c r="M19"/>
      <c r="N19"/>
      <c r="O19"/>
      <c r="P19"/>
    </row>
    <row r="20" spans="1:16" x14ac:dyDescent="0.3">
      <c r="A20" s="6" t="s">
        <v>59</v>
      </c>
      <c r="B20" s="6">
        <v>52118.310000000005</v>
      </c>
      <c r="M20"/>
      <c r="N20"/>
      <c r="O20"/>
      <c r="P20"/>
    </row>
    <row r="21" spans="1:16" x14ac:dyDescent="0.3">
      <c r="A21" s="6" t="s">
        <v>442</v>
      </c>
      <c r="B21" s="6">
        <v>229192.47000000003</v>
      </c>
      <c r="M21"/>
      <c r="N21"/>
      <c r="O21"/>
      <c r="P21"/>
    </row>
    <row r="22" spans="1:16" x14ac:dyDescent="0.3">
      <c r="M22"/>
      <c r="N22"/>
      <c r="O22"/>
      <c r="P22"/>
    </row>
    <row r="23" spans="1:16" x14ac:dyDescent="0.3">
      <c r="M23"/>
      <c r="N23"/>
      <c r="O23"/>
      <c r="P23"/>
    </row>
    <row r="24" spans="1:16" x14ac:dyDescent="0.3">
      <c r="M24"/>
      <c r="N24"/>
      <c r="O24"/>
      <c r="P24"/>
    </row>
    <row r="25" spans="1:16" x14ac:dyDescent="0.3">
      <c r="M25"/>
      <c r="N25"/>
      <c r="O25"/>
      <c r="P25"/>
    </row>
    <row r="26" spans="1:16" x14ac:dyDescent="0.3">
      <c r="M26"/>
      <c r="N26"/>
      <c r="O26"/>
      <c r="P26"/>
    </row>
    <row r="27" spans="1:16" x14ac:dyDescent="0.3">
      <c r="M27"/>
      <c r="N27"/>
      <c r="O27"/>
      <c r="P27"/>
    </row>
    <row r="28" spans="1:16" x14ac:dyDescent="0.3">
      <c r="M28"/>
      <c r="N28"/>
      <c r="O28"/>
      <c r="P28"/>
    </row>
    <row r="29" spans="1:16" x14ac:dyDescent="0.3">
      <c r="A29" s="21" t="s">
        <v>8</v>
      </c>
      <c r="B29" s="6" t="s">
        <v>443</v>
      </c>
      <c r="M29"/>
      <c r="N29"/>
    </row>
    <row r="30" spans="1:16" x14ac:dyDescent="0.3">
      <c r="A30" s="6" t="s">
        <v>21</v>
      </c>
      <c r="B30" s="6">
        <v>171756.05000000013</v>
      </c>
      <c r="M30"/>
      <c r="N30"/>
    </row>
    <row r="31" spans="1:16" x14ac:dyDescent="0.3">
      <c r="A31" s="6" t="s">
        <v>48</v>
      </c>
      <c r="B31" s="6">
        <v>49097.680000000015</v>
      </c>
      <c r="M31"/>
      <c r="N31"/>
    </row>
    <row r="32" spans="1:16" x14ac:dyDescent="0.3">
      <c r="A32" s="6" t="s">
        <v>35</v>
      </c>
      <c r="B32" s="6">
        <v>8338.7399999999961</v>
      </c>
      <c r="M32"/>
      <c r="N32"/>
    </row>
    <row r="33" spans="1:14" x14ac:dyDescent="0.3">
      <c r="A33" s="6" t="s">
        <v>442</v>
      </c>
      <c r="B33" s="6">
        <v>229192.47000000015</v>
      </c>
      <c r="M33"/>
      <c r="N33"/>
    </row>
    <row r="34" spans="1:14" x14ac:dyDescent="0.3">
      <c r="M34"/>
      <c r="N34"/>
    </row>
    <row r="35" spans="1:14" x14ac:dyDescent="0.3">
      <c r="M35"/>
      <c r="N35"/>
    </row>
    <row r="36" spans="1:14" x14ac:dyDescent="0.3">
      <c r="M36"/>
      <c r="N36"/>
    </row>
    <row r="37" spans="1:14" x14ac:dyDescent="0.3">
      <c r="M37"/>
      <c r="N37"/>
    </row>
    <row r="38" spans="1:14" x14ac:dyDescent="0.3">
      <c r="M38"/>
      <c r="N38"/>
    </row>
    <row r="39" spans="1:14" x14ac:dyDescent="0.3">
      <c r="M39"/>
      <c r="N39"/>
    </row>
    <row r="40" spans="1:14" x14ac:dyDescent="0.3">
      <c r="M40"/>
      <c r="N40"/>
    </row>
    <row r="41" spans="1:14" x14ac:dyDescent="0.3">
      <c r="M41"/>
      <c r="N41"/>
    </row>
    <row r="42" spans="1:14" x14ac:dyDescent="0.3">
      <c r="M42"/>
      <c r="N42"/>
    </row>
    <row r="43" spans="1:14" x14ac:dyDescent="0.3">
      <c r="A43" s="21" t="s">
        <v>7</v>
      </c>
      <c r="B43" s="6" t="s">
        <v>443</v>
      </c>
      <c r="M43"/>
      <c r="N43"/>
    </row>
    <row r="44" spans="1:14" x14ac:dyDescent="0.3">
      <c r="A44" s="6" t="s">
        <v>64</v>
      </c>
      <c r="B44" s="6">
        <v>67499.25</v>
      </c>
      <c r="M44"/>
      <c r="N44"/>
    </row>
    <row r="45" spans="1:14" x14ac:dyDescent="0.3">
      <c r="A45" s="6" t="s">
        <v>83</v>
      </c>
      <c r="B45" s="6">
        <v>67199.039999999994</v>
      </c>
      <c r="M45"/>
      <c r="N45"/>
    </row>
    <row r="46" spans="1:14" x14ac:dyDescent="0.3">
      <c r="A46" s="6" t="s">
        <v>108</v>
      </c>
      <c r="B46" s="6">
        <v>23399.22</v>
      </c>
      <c r="M46"/>
      <c r="N46"/>
    </row>
    <row r="47" spans="1:14" x14ac:dyDescent="0.3">
      <c r="A47" s="6" t="s">
        <v>20</v>
      </c>
      <c r="B47" s="6">
        <v>21999.119999999999</v>
      </c>
      <c r="M47"/>
      <c r="N47"/>
    </row>
    <row r="48" spans="1:14" x14ac:dyDescent="0.3">
      <c r="A48" s="6" t="s">
        <v>47</v>
      </c>
      <c r="B48" s="6">
        <v>15298.979999999994</v>
      </c>
      <c r="M48"/>
      <c r="N48"/>
    </row>
    <row r="49" spans="1:14" x14ac:dyDescent="0.3">
      <c r="A49" s="6" t="s">
        <v>129</v>
      </c>
      <c r="B49" s="6">
        <v>10399.479999999998</v>
      </c>
      <c r="M49"/>
      <c r="N49"/>
    </row>
    <row r="50" spans="1:14" x14ac:dyDescent="0.3">
      <c r="A50" s="6" t="s">
        <v>120</v>
      </c>
      <c r="B50" s="6">
        <v>8009.1099999999969</v>
      </c>
      <c r="M50"/>
      <c r="N50"/>
    </row>
    <row r="51" spans="1:14" x14ac:dyDescent="0.3">
      <c r="A51" s="6" t="s">
        <v>55</v>
      </c>
      <c r="B51" s="6">
        <v>7049.5299999999988</v>
      </c>
      <c r="M51"/>
      <c r="N51"/>
    </row>
    <row r="52" spans="1:14" x14ac:dyDescent="0.3">
      <c r="A52" s="6" t="s">
        <v>34</v>
      </c>
      <c r="B52" s="6">
        <v>5219.1299999999974</v>
      </c>
      <c r="M52"/>
      <c r="N52"/>
    </row>
    <row r="53" spans="1:14" x14ac:dyDescent="0.3">
      <c r="A53" s="6" t="s">
        <v>117</v>
      </c>
      <c r="B53" s="6">
        <v>3119.6099999999992</v>
      </c>
      <c r="M53"/>
      <c r="N53"/>
    </row>
    <row r="54" spans="1:14" x14ac:dyDescent="0.3">
      <c r="A54" s="6" t="s">
        <v>442</v>
      </c>
      <c r="B54" s="6">
        <v>229192.46999999997</v>
      </c>
      <c r="M54"/>
      <c r="N54"/>
    </row>
    <row r="55" spans="1:14" x14ac:dyDescent="0.3">
      <c r="M55"/>
      <c r="N55"/>
    </row>
    <row r="56" spans="1:14" x14ac:dyDescent="0.3">
      <c r="M56"/>
      <c r="N56"/>
    </row>
    <row r="57" spans="1:14" x14ac:dyDescent="0.3">
      <c r="M57"/>
      <c r="N57"/>
    </row>
    <row r="58" spans="1:14" x14ac:dyDescent="0.3">
      <c r="M58"/>
      <c r="N58"/>
    </row>
    <row r="59" spans="1:14" x14ac:dyDescent="0.3">
      <c r="M59"/>
      <c r="N59"/>
    </row>
    <row r="60" spans="1:14" x14ac:dyDescent="0.3">
      <c r="M60"/>
      <c r="N60"/>
    </row>
    <row r="61" spans="1:14" x14ac:dyDescent="0.3">
      <c r="A61" s="21" t="s">
        <v>444</v>
      </c>
      <c r="B61" s="21" t="s">
        <v>445</v>
      </c>
      <c r="C61" s="6" t="s">
        <v>443</v>
      </c>
      <c r="M61"/>
      <c r="N61"/>
    </row>
    <row r="62" spans="1:14" x14ac:dyDescent="0.3">
      <c r="A62" s="6" t="s">
        <v>446</v>
      </c>
      <c r="B62" s="6" t="s">
        <v>449</v>
      </c>
      <c r="C62" s="6">
        <v>20919.330000000002</v>
      </c>
      <c r="K62" s="24"/>
      <c r="L62" s="24"/>
      <c r="M62" s="24"/>
      <c r="N62"/>
    </row>
    <row r="63" spans="1:14" x14ac:dyDescent="0.3">
      <c r="B63" s="6" t="s">
        <v>450</v>
      </c>
      <c r="C63" s="6">
        <v>17039.349999999999</v>
      </c>
      <c r="K63" s="25"/>
      <c r="L63" s="25"/>
      <c r="M63" s="25"/>
      <c r="N63"/>
    </row>
    <row r="64" spans="1:14" x14ac:dyDescent="0.3">
      <c r="B64" s="6" t="s">
        <v>451</v>
      </c>
      <c r="C64" s="6">
        <v>19299.45</v>
      </c>
      <c r="K64" s="25"/>
      <c r="L64" s="25"/>
      <c r="M64" s="25"/>
      <c r="N64"/>
    </row>
    <row r="65" spans="1:14" x14ac:dyDescent="0.3">
      <c r="B65" s="6" t="s">
        <v>452</v>
      </c>
      <c r="C65" s="6">
        <v>18479.399999999994</v>
      </c>
      <c r="K65" s="25"/>
      <c r="L65" s="25"/>
      <c r="M65" s="25"/>
      <c r="N65"/>
    </row>
    <row r="66" spans="1:14" x14ac:dyDescent="0.3">
      <c r="B66" s="6" t="s">
        <v>453</v>
      </c>
      <c r="C66" s="6">
        <v>15759.429999999997</v>
      </c>
      <c r="K66" s="25"/>
      <c r="L66" s="25"/>
      <c r="M66" s="25"/>
      <c r="N66"/>
    </row>
    <row r="67" spans="1:14" x14ac:dyDescent="0.3">
      <c r="B67" s="6" t="s">
        <v>454</v>
      </c>
      <c r="C67" s="6">
        <v>12989.509999999997</v>
      </c>
      <c r="K67" s="25"/>
      <c r="L67" s="25"/>
      <c r="M67" s="25"/>
      <c r="N67"/>
    </row>
    <row r="68" spans="1:14" x14ac:dyDescent="0.3">
      <c r="B68" s="6" t="s">
        <v>455</v>
      </c>
      <c r="C68" s="6">
        <v>20609.52</v>
      </c>
      <c r="K68" s="25"/>
      <c r="L68" s="25"/>
      <c r="M68" s="25"/>
      <c r="N68"/>
    </row>
    <row r="69" spans="1:14" x14ac:dyDescent="0.3">
      <c r="B69" s="6" t="s">
        <v>456</v>
      </c>
      <c r="C69" s="6">
        <v>12309.439999999999</v>
      </c>
      <c r="K69" s="25"/>
      <c r="L69" s="25"/>
      <c r="M69" s="25"/>
      <c r="N69"/>
    </row>
    <row r="70" spans="1:14" x14ac:dyDescent="0.3">
      <c r="B70" s="6" t="s">
        <v>457</v>
      </c>
      <c r="C70" s="6">
        <v>23039.3</v>
      </c>
      <c r="K70" s="25"/>
      <c r="L70" s="25"/>
      <c r="M70" s="25"/>
      <c r="N70"/>
    </row>
    <row r="71" spans="1:14" x14ac:dyDescent="0.3">
      <c r="A71" s="6" t="s">
        <v>458</v>
      </c>
      <c r="C71" s="6">
        <v>160444.72999999998</v>
      </c>
      <c r="K71" s="25"/>
      <c r="L71" s="25"/>
      <c r="M71" s="25"/>
      <c r="N71"/>
    </row>
    <row r="72" spans="1:14" x14ac:dyDescent="0.3">
      <c r="A72" s="6" t="s">
        <v>447</v>
      </c>
      <c r="B72" s="6" t="s">
        <v>459</v>
      </c>
      <c r="C72" s="6">
        <v>25799.15</v>
      </c>
      <c r="K72" s="25"/>
      <c r="L72" s="25"/>
      <c r="M72" s="25"/>
      <c r="N72"/>
    </row>
    <row r="73" spans="1:14" x14ac:dyDescent="0.3">
      <c r="B73" s="6" t="s">
        <v>460</v>
      </c>
      <c r="C73" s="6">
        <v>16069.379999999997</v>
      </c>
      <c r="K73" s="25"/>
      <c r="L73" s="25"/>
      <c r="M73" s="25"/>
      <c r="N73"/>
    </row>
    <row r="74" spans="1:14" x14ac:dyDescent="0.3">
      <c r="B74" s="6" t="s">
        <v>461</v>
      </c>
      <c r="C74" s="6">
        <v>19899.379999999997</v>
      </c>
      <c r="K74" s="25"/>
      <c r="L74" s="25"/>
      <c r="M74" s="25"/>
      <c r="N74"/>
    </row>
    <row r="75" spans="1:14" x14ac:dyDescent="0.3">
      <c r="B75" s="6" t="s">
        <v>449</v>
      </c>
      <c r="C75" s="6">
        <v>6979.829999999999</v>
      </c>
      <c r="M75"/>
      <c r="N75"/>
    </row>
    <row r="76" spans="1:14" x14ac:dyDescent="0.3">
      <c r="A76" s="6" t="s">
        <v>462</v>
      </c>
      <c r="C76" s="6">
        <v>68747.739999999991</v>
      </c>
      <c r="M76"/>
      <c r="N76"/>
    </row>
    <row r="77" spans="1:14" x14ac:dyDescent="0.3">
      <c r="A77" s="6" t="s">
        <v>442</v>
      </c>
      <c r="C77" s="6">
        <v>229192.46999999997</v>
      </c>
      <c r="M77"/>
      <c r="N77"/>
    </row>
    <row r="78" spans="1:14" x14ac:dyDescent="0.3">
      <c r="M78"/>
      <c r="N78"/>
    </row>
    <row r="79" spans="1:14" x14ac:dyDescent="0.3">
      <c r="M79"/>
      <c r="N79"/>
    </row>
    <row r="80" spans="1:14" x14ac:dyDescent="0.3">
      <c r="A80" s="21" t="s">
        <v>5</v>
      </c>
      <c r="B80" s="6" t="s">
        <v>443</v>
      </c>
      <c r="M80"/>
      <c r="N80"/>
    </row>
    <row r="81" spans="1:14" x14ac:dyDescent="0.3">
      <c r="A81" s="6" t="s">
        <v>89</v>
      </c>
      <c r="B81" s="6">
        <v>15659.65</v>
      </c>
      <c r="M81"/>
      <c r="N81"/>
    </row>
    <row r="82" spans="1:14" x14ac:dyDescent="0.3">
      <c r="A82" s="6" t="s">
        <v>126</v>
      </c>
      <c r="B82" s="6">
        <v>11919.769999999999</v>
      </c>
      <c r="M82"/>
      <c r="N82"/>
    </row>
    <row r="83" spans="1:14" x14ac:dyDescent="0.3">
      <c r="A83" s="6" t="s">
        <v>99</v>
      </c>
      <c r="B83" s="6">
        <v>10649.8</v>
      </c>
      <c r="M83"/>
      <c r="N83"/>
    </row>
    <row r="84" spans="1:14" x14ac:dyDescent="0.3">
      <c r="A84" s="6" t="s">
        <v>102</v>
      </c>
      <c r="B84" s="6">
        <v>9799.73</v>
      </c>
      <c r="M84"/>
      <c r="N84"/>
    </row>
    <row r="85" spans="1:14" x14ac:dyDescent="0.3">
      <c r="A85" s="6" t="s">
        <v>18</v>
      </c>
      <c r="B85" s="6">
        <v>8309.739999999998</v>
      </c>
      <c r="M85"/>
      <c r="N85"/>
    </row>
    <row r="86" spans="1:14" x14ac:dyDescent="0.3">
      <c r="A86" s="6" t="s">
        <v>51</v>
      </c>
      <c r="B86" s="6">
        <v>8269.7900000000009</v>
      </c>
      <c r="M86"/>
      <c r="N86"/>
    </row>
    <row r="87" spans="1:14" x14ac:dyDescent="0.3">
      <c r="A87" s="6" t="s">
        <v>68</v>
      </c>
      <c r="B87" s="6">
        <v>8009.7699999999995</v>
      </c>
      <c r="M87"/>
      <c r="N87"/>
    </row>
    <row r="88" spans="1:14" x14ac:dyDescent="0.3">
      <c r="A88" s="6" t="s">
        <v>150</v>
      </c>
      <c r="B88" s="6">
        <v>7309.7999999999993</v>
      </c>
      <c r="M88"/>
      <c r="N88"/>
    </row>
    <row r="89" spans="1:14" x14ac:dyDescent="0.3">
      <c r="A89" s="6" t="s">
        <v>229</v>
      </c>
      <c r="B89" s="6">
        <v>6989.7699999999986</v>
      </c>
      <c r="M89"/>
      <c r="N89"/>
    </row>
    <row r="90" spans="1:14" x14ac:dyDescent="0.3">
      <c r="A90" s="6" t="s">
        <v>27</v>
      </c>
      <c r="B90" s="6">
        <v>6949.84</v>
      </c>
      <c r="M90"/>
      <c r="N90"/>
    </row>
    <row r="91" spans="1:14" x14ac:dyDescent="0.3">
      <c r="A91" s="6" t="s">
        <v>123</v>
      </c>
      <c r="B91" s="6">
        <v>6459.79</v>
      </c>
      <c r="M91"/>
      <c r="N91"/>
    </row>
    <row r="92" spans="1:14" x14ac:dyDescent="0.3">
      <c r="A92" s="6" t="s">
        <v>199</v>
      </c>
      <c r="B92" s="6">
        <v>6379.87</v>
      </c>
      <c r="M92"/>
      <c r="N92"/>
    </row>
    <row r="93" spans="1:14" x14ac:dyDescent="0.3">
      <c r="A93" s="6" t="s">
        <v>237</v>
      </c>
      <c r="B93" s="6">
        <v>6349.83</v>
      </c>
      <c r="M93"/>
      <c r="N93"/>
    </row>
    <row r="94" spans="1:14" x14ac:dyDescent="0.3">
      <c r="A94" s="6" t="s">
        <v>45</v>
      </c>
      <c r="B94" s="6">
        <v>6169.7400000000007</v>
      </c>
      <c r="M94"/>
      <c r="N94"/>
    </row>
    <row r="95" spans="1:14" x14ac:dyDescent="0.3">
      <c r="A95" s="6" t="s">
        <v>75</v>
      </c>
      <c r="B95" s="6">
        <v>5949.85</v>
      </c>
      <c r="M95"/>
      <c r="N95"/>
    </row>
    <row r="96" spans="1:14" x14ac:dyDescent="0.3">
      <c r="A96" s="6" t="s">
        <v>161</v>
      </c>
      <c r="B96" s="6">
        <v>5649.84</v>
      </c>
      <c r="M96"/>
      <c r="N96"/>
    </row>
    <row r="97" spans="1:14" x14ac:dyDescent="0.3">
      <c r="A97" s="6" t="s">
        <v>153</v>
      </c>
      <c r="B97" s="6">
        <v>5619.869999999999</v>
      </c>
      <c r="M97"/>
      <c r="N97"/>
    </row>
    <row r="98" spans="1:14" x14ac:dyDescent="0.3">
      <c r="A98" s="6" t="s">
        <v>147</v>
      </c>
      <c r="B98" s="6">
        <v>5519.8899999999994</v>
      </c>
      <c r="M98"/>
      <c r="N98"/>
    </row>
    <row r="99" spans="1:14" x14ac:dyDescent="0.3">
      <c r="A99" s="6" t="s">
        <v>157</v>
      </c>
      <c r="B99" s="6">
        <v>5499.8099999999995</v>
      </c>
      <c r="M99"/>
      <c r="N99"/>
    </row>
    <row r="100" spans="1:14" x14ac:dyDescent="0.3">
      <c r="A100" s="6" t="s">
        <v>58</v>
      </c>
      <c r="B100" s="6">
        <v>5089.7300000000005</v>
      </c>
      <c r="M100"/>
      <c r="N100"/>
    </row>
    <row r="101" spans="1:14" x14ac:dyDescent="0.3">
      <c r="A101" s="6" t="s">
        <v>296</v>
      </c>
      <c r="B101" s="6">
        <v>4829.8899999999994</v>
      </c>
      <c r="M101"/>
      <c r="N101"/>
    </row>
    <row r="102" spans="1:14" x14ac:dyDescent="0.3">
      <c r="A102" s="6" t="s">
        <v>96</v>
      </c>
      <c r="B102" s="6">
        <v>4789.7900000000009</v>
      </c>
      <c r="M102"/>
      <c r="N102"/>
    </row>
    <row r="103" spans="1:14" x14ac:dyDescent="0.3">
      <c r="A103" s="6" t="s">
        <v>255</v>
      </c>
      <c r="B103" s="6">
        <v>4749.91</v>
      </c>
      <c r="M103"/>
      <c r="N103"/>
    </row>
    <row r="104" spans="1:14" x14ac:dyDescent="0.3">
      <c r="A104" s="6" t="s">
        <v>144</v>
      </c>
      <c r="B104" s="6">
        <v>4739.8500000000004</v>
      </c>
      <c r="M104"/>
      <c r="N104"/>
    </row>
    <row r="105" spans="1:14" x14ac:dyDescent="0.3">
      <c r="A105" s="6" t="s">
        <v>41</v>
      </c>
      <c r="B105" s="6">
        <v>4309.8099999999995</v>
      </c>
      <c r="M105"/>
      <c r="N105"/>
    </row>
    <row r="106" spans="1:14" x14ac:dyDescent="0.3">
      <c r="A106" s="6" t="s">
        <v>81</v>
      </c>
      <c r="B106" s="6">
        <v>4199.9399999999996</v>
      </c>
      <c r="M106"/>
      <c r="N106"/>
    </row>
    <row r="107" spans="1:14" x14ac:dyDescent="0.3">
      <c r="A107" s="6" t="s">
        <v>111</v>
      </c>
      <c r="B107" s="6">
        <v>4189.7700000000004</v>
      </c>
      <c r="M107"/>
      <c r="N107"/>
    </row>
    <row r="108" spans="1:14" x14ac:dyDescent="0.3">
      <c r="A108" s="6" t="s">
        <v>86</v>
      </c>
      <c r="B108" s="6">
        <v>3779.93</v>
      </c>
      <c r="M108"/>
      <c r="N108"/>
    </row>
    <row r="109" spans="1:14" x14ac:dyDescent="0.3">
      <c r="A109" s="6" t="s">
        <v>105</v>
      </c>
      <c r="B109" s="6">
        <v>3769.8300000000004</v>
      </c>
      <c r="M109"/>
      <c r="N109"/>
    </row>
    <row r="110" spans="1:14" x14ac:dyDescent="0.3">
      <c r="A110" s="6" t="s">
        <v>174</v>
      </c>
      <c r="B110" s="6">
        <v>3669.8500000000004</v>
      </c>
      <c r="M110"/>
      <c r="N110"/>
    </row>
    <row r="111" spans="1:14" x14ac:dyDescent="0.3">
      <c r="A111" s="6" t="s">
        <v>214</v>
      </c>
      <c r="B111" s="6">
        <v>3649.8599999999997</v>
      </c>
      <c r="M111"/>
      <c r="N111"/>
    </row>
    <row r="112" spans="1:14" x14ac:dyDescent="0.3">
      <c r="A112" s="6" t="s">
        <v>62</v>
      </c>
      <c r="B112" s="6">
        <v>3509.8999999999996</v>
      </c>
      <c r="M112"/>
      <c r="N112"/>
    </row>
    <row r="113" spans="1:14" x14ac:dyDescent="0.3">
      <c r="A113" s="6" t="s">
        <v>32</v>
      </c>
      <c r="B113" s="6">
        <v>3259.87</v>
      </c>
      <c r="M113"/>
      <c r="N113"/>
    </row>
    <row r="114" spans="1:14" x14ac:dyDescent="0.3">
      <c r="A114" s="6" t="s">
        <v>141</v>
      </c>
      <c r="B114" s="6">
        <v>2649.83</v>
      </c>
      <c r="M114"/>
      <c r="N114"/>
    </row>
    <row r="115" spans="1:14" x14ac:dyDescent="0.3">
      <c r="A115" s="6" t="s">
        <v>188</v>
      </c>
      <c r="B115" s="6">
        <v>2099.88</v>
      </c>
      <c r="M115"/>
      <c r="N115"/>
    </row>
    <row r="116" spans="1:14" x14ac:dyDescent="0.3">
      <c r="A116" s="6" t="s">
        <v>132</v>
      </c>
      <c r="B116" s="6">
        <v>2039.8000000000002</v>
      </c>
      <c r="M116"/>
      <c r="N116"/>
    </row>
    <row r="117" spans="1:14" x14ac:dyDescent="0.3">
      <c r="A117" s="6" t="s">
        <v>71</v>
      </c>
      <c r="B117" s="6">
        <v>1979.89</v>
      </c>
      <c r="M117"/>
      <c r="N117"/>
    </row>
    <row r="118" spans="1:14" x14ac:dyDescent="0.3">
      <c r="A118" s="6" t="s">
        <v>92</v>
      </c>
      <c r="B118" s="6">
        <v>1909.93</v>
      </c>
      <c r="M118"/>
      <c r="N118"/>
    </row>
    <row r="119" spans="1:14" x14ac:dyDescent="0.3">
      <c r="A119" s="6" t="s">
        <v>185</v>
      </c>
      <c r="B119" s="6">
        <v>1809.84</v>
      </c>
      <c r="M119"/>
      <c r="N119"/>
    </row>
    <row r="120" spans="1:14" x14ac:dyDescent="0.3">
      <c r="A120" s="6" t="s">
        <v>249</v>
      </c>
      <c r="B120" s="6">
        <v>1749.92</v>
      </c>
      <c r="M120"/>
      <c r="N120"/>
    </row>
    <row r="121" spans="1:14" x14ac:dyDescent="0.3">
      <c r="A121" s="6" t="s">
        <v>328</v>
      </c>
      <c r="B121" s="6">
        <v>1559.94</v>
      </c>
      <c r="M121"/>
      <c r="N121"/>
    </row>
    <row r="122" spans="1:14" x14ac:dyDescent="0.3">
      <c r="A122" s="6" t="s">
        <v>195</v>
      </c>
      <c r="B122" s="6">
        <v>1479.91</v>
      </c>
      <c r="M122"/>
      <c r="N122"/>
    </row>
    <row r="123" spans="1:14" x14ac:dyDescent="0.3">
      <c r="A123" s="6" t="s">
        <v>115</v>
      </c>
      <c r="B123" s="6">
        <v>1289.9000000000001</v>
      </c>
      <c r="M123"/>
      <c r="N123"/>
    </row>
    <row r="124" spans="1:14" x14ac:dyDescent="0.3">
      <c r="A124" s="6" t="s">
        <v>135</v>
      </c>
      <c r="B124" s="6">
        <v>1229.8800000000001</v>
      </c>
      <c r="M124"/>
      <c r="N124"/>
    </row>
    <row r="125" spans="1:14" x14ac:dyDescent="0.3">
      <c r="A125" s="6" t="s">
        <v>234</v>
      </c>
      <c r="B125" s="6">
        <v>1149.93</v>
      </c>
      <c r="M125"/>
      <c r="N125"/>
    </row>
    <row r="126" spans="1:14" x14ac:dyDescent="0.3">
      <c r="A126" s="6" t="s">
        <v>262</v>
      </c>
      <c r="B126" s="6">
        <v>739.93000000000006</v>
      </c>
      <c r="M126"/>
      <c r="N126"/>
    </row>
    <row r="127" spans="1:14" x14ac:dyDescent="0.3">
      <c r="A127" s="6" t="s">
        <v>389</v>
      </c>
      <c r="B127" s="6">
        <v>599.96</v>
      </c>
      <c r="M127"/>
      <c r="N127"/>
    </row>
    <row r="128" spans="1:14" x14ac:dyDescent="0.3">
      <c r="A128" s="6" t="s">
        <v>78</v>
      </c>
      <c r="B128" s="6">
        <v>479.91999999999996</v>
      </c>
      <c r="M128"/>
      <c r="N128"/>
    </row>
    <row r="129" spans="1:14" x14ac:dyDescent="0.3">
      <c r="A129" s="6" t="s">
        <v>165</v>
      </c>
      <c r="B129" s="6">
        <v>239.96</v>
      </c>
      <c r="M129"/>
      <c r="N129"/>
    </row>
    <row r="130" spans="1:14" x14ac:dyDescent="0.3">
      <c r="A130" s="6" t="s">
        <v>307</v>
      </c>
      <c r="B130" s="6">
        <v>179.97</v>
      </c>
      <c r="M130"/>
      <c r="N130"/>
    </row>
    <row r="131" spans="1:14" x14ac:dyDescent="0.3">
      <c r="A131" s="6" t="s">
        <v>442</v>
      </c>
      <c r="B131" s="6">
        <v>229192.46999999997</v>
      </c>
      <c r="M131"/>
      <c r="N131"/>
    </row>
    <row r="132" spans="1:14" x14ac:dyDescent="0.3">
      <c r="M132"/>
      <c r="N132"/>
    </row>
    <row r="133" spans="1:14" x14ac:dyDescent="0.3">
      <c r="M133"/>
      <c r="N133"/>
    </row>
    <row r="134" spans="1:14" x14ac:dyDescent="0.3">
      <c r="M134"/>
      <c r="N134"/>
    </row>
    <row r="135" spans="1:14" x14ac:dyDescent="0.3">
      <c r="M135"/>
      <c r="N135"/>
    </row>
    <row r="136" spans="1:14" x14ac:dyDescent="0.3">
      <c r="M136"/>
      <c r="N136"/>
    </row>
    <row r="137" spans="1:14" x14ac:dyDescent="0.3">
      <c r="M137"/>
      <c r="N137"/>
    </row>
    <row r="138" spans="1:14" x14ac:dyDescent="0.3">
      <c r="M138"/>
      <c r="N138"/>
    </row>
    <row r="139" spans="1:14" x14ac:dyDescent="0.3">
      <c r="M139"/>
      <c r="N139"/>
    </row>
    <row r="140" spans="1:14" x14ac:dyDescent="0.3">
      <c r="M140"/>
      <c r="N140"/>
    </row>
    <row r="141" spans="1:14" x14ac:dyDescent="0.3">
      <c r="M141"/>
      <c r="N141"/>
    </row>
    <row r="142" spans="1:14" x14ac:dyDescent="0.3">
      <c r="M142"/>
      <c r="N142"/>
    </row>
    <row r="143" spans="1:14" x14ac:dyDescent="0.3">
      <c r="M143"/>
      <c r="N143"/>
    </row>
    <row r="144" spans="1:14" x14ac:dyDescent="0.3">
      <c r="M144"/>
      <c r="N144"/>
    </row>
    <row r="145" spans="13:14" x14ac:dyDescent="0.3">
      <c r="M145"/>
      <c r="N145"/>
    </row>
    <row r="146" spans="13:14" x14ac:dyDescent="0.3">
      <c r="M146"/>
      <c r="N146"/>
    </row>
    <row r="147" spans="13:14" x14ac:dyDescent="0.3">
      <c r="M147"/>
      <c r="N147"/>
    </row>
    <row r="148" spans="13:14" x14ac:dyDescent="0.3">
      <c r="M148"/>
      <c r="N148"/>
    </row>
    <row r="149" spans="13:14" x14ac:dyDescent="0.3">
      <c r="M149"/>
      <c r="N149"/>
    </row>
    <row r="150" spans="13:14" x14ac:dyDescent="0.3">
      <c r="M150"/>
      <c r="N150"/>
    </row>
    <row r="151" spans="13:14" x14ac:dyDescent="0.3">
      <c r="M151"/>
      <c r="N151"/>
    </row>
    <row r="152" spans="13:14" x14ac:dyDescent="0.3">
      <c r="M152"/>
      <c r="N152"/>
    </row>
    <row r="153" spans="13:14" x14ac:dyDescent="0.3">
      <c r="M153"/>
      <c r="N153"/>
    </row>
    <row r="154" spans="13:14" x14ac:dyDescent="0.3">
      <c r="M154"/>
      <c r="N154"/>
    </row>
    <row r="155" spans="13:14" x14ac:dyDescent="0.3">
      <c r="M155"/>
      <c r="N155"/>
    </row>
    <row r="156" spans="13:14" x14ac:dyDescent="0.3">
      <c r="M156"/>
      <c r="N156"/>
    </row>
    <row r="157" spans="13:14" x14ac:dyDescent="0.3">
      <c r="M157"/>
      <c r="N157"/>
    </row>
    <row r="158" spans="13:14" x14ac:dyDescent="0.3">
      <c r="M158"/>
      <c r="N158"/>
    </row>
    <row r="159" spans="13:14" x14ac:dyDescent="0.3">
      <c r="M159"/>
      <c r="N159"/>
    </row>
    <row r="160" spans="13:14" x14ac:dyDescent="0.3">
      <c r="M160"/>
      <c r="N160"/>
    </row>
    <row r="161" spans="13:14" x14ac:dyDescent="0.3">
      <c r="M161"/>
      <c r="N161"/>
    </row>
    <row r="162" spans="13:14" x14ac:dyDescent="0.3">
      <c r="M162"/>
      <c r="N162"/>
    </row>
    <row r="163" spans="13:14" x14ac:dyDescent="0.3">
      <c r="M163"/>
      <c r="N163"/>
    </row>
    <row r="164" spans="13:14" x14ac:dyDescent="0.3">
      <c r="M164"/>
      <c r="N164"/>
    </row>
    <row r="165" spans="13:14" x14ac:dyDescent="0.3">
      <c r="M165"/>
      <c r="N165"/>
    </row>
    <row r="166" spans="13:14" x14ac:dyDescent="0.3">
      <c r="M166"/>
      <c r="N166"/>
    </row>
    <row r="167" spans="13:14" x14ac:dyDescent="0.3">
      <c r="M167"/>
      <c r="N167"/>
    </row>
    <row r="168" spans="13:14" x14ac:dyDescent="0.3">
      <c r="M168"/>
      <c r="N168"/>
    </row>
    <row r="169" spans="13:14" x14ac:dyDescent="0.3">
      <c r="M169"/>
      <c r="N169"/>
    </row>
    <row r="170" spans="13:14" x14ac:dyDescent="0.3">
      <c r="M170"/>
      <c r="N170"/>
    </row>
    <row r="171" spans="13:14" x14ac:dyDescent="0.3">
      <c r="M171"/>
      <c r="N171"/>
    </row>
    <row r="172" spans="13:14" x14ac:dyDescent="0.3">
      <c r="M172"/>
      <c r="N172"/>
    </row>
    <row r="173" spans="13:14" x14ac:dyDescent="0.3">
      <c r="M173"/>
      <c r="N173"/>
    </row>
    <row r="174" spans="13:14" x14ac:dyDescent="0.3">
      <c r="M174"/>
      <c r="N174"/>
    </row>
    <row r="175" spans="13:14" x14ac:dyDescent="0.3">
      <c r="M175"/>
      <c r="N175"/>
    </row>
    <row r="176" spans="13:14" x14ac:dyDescent="0.3">
      <c r="M176"/>
      <c r="N176"/>
    </row>
    <row r="177" spans="13:14" x14ac:dyDescent="0.3">
      <c r="M177"/>
      <c r="N177"/>
    </row>
    <row r="178" spans="13:14" x14ac:dyDescent="0.3">
      <c r="M178"/>
      <c r="N178"/>
    </row>
    <row r="179" spans="13:14" x14ac:dyDescent="0.3">
      <c r="M179"/>
      <c r="N179"/>
    </row>
    <row r="180" spans="13:14" x14ac:dyDescent="0.3">
      <c r="M180"/>
      <c r="N180"/>
    </row>
    <row r="181" spans="13:14" x14ac:dyDescent="0.3">
      <c r="M181"/>
      <c r="N181"/>
    </row>
    <row r="182" spans="13:14" x14ac:dyDescent="0.3">
      <c r="M182"/>
      <c r="N182"/>
    </row>
    <row r="183" spans="13:14" x14ac:dyDescent="0.3">
      <c r="M183"/>
      <c r="N183"/>
    </row>
    <row r="184" spans="13:14" x14ac:dyDescent="0.3">
      <c r="M184"/>
      <c r="N184"/>
    </row>
    <row r="185" spans="13:14" x14ac:dyDescent="0.3">
      <c r="M185"/>
      <c r="N185"/>
    </row>
    <row r="186" spans="13:14" x14ac:dyDescent="0.3">
      <c r="M186"/>
      <c r="N186"/>
    </row>
    <row r="187" spans="13:14" x14ac:dyDescent="0.3">
      <c r="M187"/>
      <c r="N187"/>
    </row>
    <row r="188" spans="13:14" x14ac:dyDescent="0.3">
      <c r="M188"/>
      <c r="N188"/>
    </row>
    <row r="189" spans="13:14" x14ac:dyDescent="0.3">
      <c r="M189"/>
      <c r="N189"/>
    </row>
    <row r="190" spans="13:14" x14ac:dyDescent="0.3">
      <c r="M190"/>
      <c r="N190"/>
    </row>
    <row r="191" spans="13:14" x14ac:dyDescent="0.3">
      <c r="M191"/>
      <c r="N191"/>
    </row>
    <row r="192" spans="13:14" x14ac:dyDescent="0.3">
      <c r="M192"/>
      <c r="N192"/>
    </row>
    <row r="193" spans="13:14" x14ac:dyDescent="0.3">
      <c r="M193"/>
      <c r="N193"/>
    </row>
    <row r="194" spans="13:14" x14ac:dyDescent="0.3">
      <c r="M194"/>
      <c r="N194"/>
    </row>
    <row r="195" spans="13:14" x14ac:dyDescent="0.3">
      <c r="M195"/>
      <c r="N195"/>
    </row>
    <row r="196" spans="13:14" x14ac:dyDescent="0.3">
      <c r="M196"/>
      <c r="N196"/>
    </row>
    <row r="197" spans="13:14" x14ac:dyDescent="0.3">
      <c r="M197"/>
      <c r="N197"/>
    </row>
    <row r="198" spans="13:14" x14ac:dyDescent="0.3">
      <c r="M198"/>
      <c r="N198"/>
    </row>
    <row r="199" spans="13:14" x14ac:dyDescent="0.3">
      <c r="M199"/>
      <c r="N199"/>
    </row>
    <row r="200" spans="13:14" x14ac:dyDescent="0.3">
      <c r="M200"/>
      <c r="N200"/>
    </row>
    <row r="201" spans="13:14" x14ac:dyDescent="0.3">
      <c r="M201"/>
      <c r="N201"/>
    </row>
  </sheetData>
  <mergeCells count="1">
    <mergeCell ref="A1: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93DA2-7696-4912-B53A-82C66F090C64}">
  <dimension ref="A1:N290"/>
  <sheetViews>
    <sheetView zoomScale="80" zoomScaleNormal="115" workbookViewId="0">
      <selection activeCell="E18" sqref="E18"/>
    </sheetView>
  </sheetViews>
  <sheetFormatPr defaultRowHeight="14.4" x14ac:dyDescent="0.3"/>
  <cols>
    <col min="1" max="1" width="19.6640625" style="6" bestFit="1" customWidth="1"/>
    <col min="2" max="2" width="19.77734375" style="6" bestFit="1" customWidth="1"/>
    <col min="3" max="3" width="25.77734375" style="6" bestFit="1" customWidth="1"/>
    <col min="4" max="5" width="8.88671875" style="6"/>
    <col min="6" max="6" width="22.21875" style="6" bestFit="1" customWidth="1"/>
    <col min="7" max="7" width="19.6640625" style="6" bestFit="1" customWidth="1"/>
    <col min="8" max="8" width="25.77734375" style="6" bestFit="1" customWidth="1"/>
    <col min="9" max="12" width="19.77734375" style="6" bestFit="1" customWidth="1"/>
    <col min="13" max="16384" width="8.88671875" style="6"/>
  </cols>
  <sheetData>
    <row r="1" spans="1:12" x14ac:dyDescent="0.3">
      <c r="A1" s="28" t="s">
        <v>463</v>
      </c>
      <c r="B1" s="28"/>
      <c r="C1" s="22"/>
      <c r="D1" s="22"/>
    </row>
    <row r="2" spans="1:12" x14ac:dyDescent="0.3">
      <c r="A2" s="28"/>
      <c r="B2" s="28"/>
      <c r="C2" s="22"/>
      <c r="D2" s="22"/>
    </row>
    <row r="3" spans="1:12" x14ac:dyDescent="0.3">
      <c r="A3" s="21" t="s">
        <v>13</v>
      </c>
      <c r="B3" s="21" t="s">
        <v>5</v>
      </c>
      <c r="C3" s="6" t="s">
        <v>464</v>
      </c>
      <c r="J3"/>
      <c r="K3"/>
      <c r="L3"/>
    </row>
    <row r="4" spans="1:12" x14ac:dyDescent="0.3">
      <c r="A4" s="6" t="s">
        <v>29</v>
      </c>
      <c r="B4" s="6" t="s">
        <v>68</v>
      </c>
      <c r="C4" s="6">
        <v>6</v>
      </c>
      <c r="J4"/>
      <c r="K4"/>
      <c r="L4"/>
    </row>
    <row r="5" spans="1:12" x14ac:dyDescent="0.3">
      <c r="B5" s="6" t="s">
        <v>45</v>
      </c>
      <c r="C5" s="6">
        <v>5</v>
      </c>
      <c r="J5"/>
      <c r="K5"/>
      <c r="L5"/>
    </row>
    <row r="6" spans="1:12" x14ac:dyDescent="0.3">
      <c r="B6" s="6" t="s">
        <v>141</v>
      </c>
      <c r="C6" s="6">
        <v>5</v>
      </c>
      <c r="J6"/>
      <c r="K6"/>
      <c r="L6"/>
    </row>
    <row r="7" spans="1:12" x14ac:dyDescent="0.3">
      <c r="B7" s="6" t="s">
        <v>89</v>
      </c>
      <c r="C7" s="6">
        <v>5</v>
      </c>
      <c r="J7"/>
      <c r="K7"/>
      <c r="L7"/>
    </row>
    <row r="8" spans="1:12" ht="13.8" customHeight="1" x14ac:dyDescent="0.3">
      <c r="B8" s="6" t="s">
        <v>161</v>
      </c>
      <c r="C8" s="6">
        <v>4</v>
      </c>
      <c r="J8"/>
      <c r="K8"/>
      <c r="L8"/>
    </row>
    <row r="9" spans="1:12" x14ac:dyDescent="0.3">
      <c r="B9" s="6" t="s">
        <v>18</v>
      </c>
      <c r="C9" s="6">
        <v>4</v>
      </c>
      <c r="J9"/>
      <c r="K9"/>
      <c r="L9"/>
    </row>
    <row r="10" spans="1:12" x14ac:dyDescent="0.3">
      <c r="B10" s="6" t="s">
        <v>229</v>
      </c>
      <c r="C10" s="6">
        <v>4</v>
      </c>
      <c r="J10"/>
      <c r="K10"/>
      <c r="L10"/>
    </row>
    <row r="11" spans="1:12" x14ac:dyDescent="0.3">
      <c r="B11" s="6" t="s">
        <v>102</v>
      </c>
      <c r="C11" s="6">
        <v>4</v>
      </c>
      <c r="J11"/>
      <c r="K11"/>
      <c r="L11"/>
    </row>
    <row r="12" spans="1:12" x14ac:dyDescent="0.3">
      <c r="A12" s="6" t="s">
        <v>465</v>
      </c>
      <c r="C12" s="6">
        <v>37</v>
      </c>
      <c r="J12"/>
      <c r="K12"/>
      <c r="L12"/>
    </row>
    <row r="13" spans="1:12" x14ac:dyDescent="0.3">
      <c r="A13" s="6" t="s">
        <v>38</v>
      </c>
      <c r="B13" s="6" t="s">
        <v>123</v>
      </c>
      <c r="C13" s="6">
        <v>5</v>
      </c>
      <c r="J13"/>
      <c r="K13"/>
      <c r="L13"/>
    </row>
    <row r="14" spans="1:12" x14ac:dyDescent="0.3">
      <c r="B14" s="6" t="s">
        <v>185</v>
      </c>
      <c r="C14" s="6">
        <v>4</v>
      </c>
      <c r="J14"/>
      <c r="K14"/>
      <c r="L14"/>
    </row>
    <row r="15" spans="1:12" x14ac:dyDescent="0.3">
      <c r="B15" s="6" t="s">
        <v>89</v>
      </c>
      <c r="C15" s="6">
        <v>4</v>
      </c>
      <c r="J15"/>
      <c r="K15"/>
      <c r="L15"/>
    </row>
    <row r="16" spans="1:12" x14ac:dyDescent="0.3">
      <c r="B16" s="6" t="s">
        <v>58</v>
      </c>
      <c r="C16" s="6">
        <v>4</v>
      </c>
      <c r="J16"/>
      <c r="K16"/>
      <c r="L16"/>
    </row>
    <row r="17" spans="1:14" x14ac:dyDescent="0.3">
      <c r="B17" s="6" t="s">
        <v>150</v>
      </c>
      <c r="C17" s="6">
        <v>3</v>
      </c>
      <c r="J17"/>
      <c r="K17"/>
      <c r="L17"/>
    </row>
    <row r="18" spans="1:14" x14ac:dyDescent="0.3">
      <c r="B18" s="6" t="s">
        <v>71</v>
      </c>
      <c r="C18" s="6">
        <v>3</v>
      </c>
      <c r="J18"/>
      <c r="K18"/>
      <c r="L18"/>
    </row>
    <row r="19" spans="1:14" x14ac:dyDescent="0.3">
      <c r="B19" s="6" t="s">
        <v>153</v>
      </c>
      <c r="C19" s="6">
        <v>3</v>
      </c>
      <c r="J19"/>
      <c r="K19"/>
      <c r="L19"/>
    </row>
    <row r="20" spans="1:14" x14ac:dyDescent="0.3">
      <c r="B20" s="6" t="s">
        <v>105</v>
      </c>
      <c r="C20" s="6">
        <v>3</v>
      </c>
      <c r="J20"/>
      <c r="K20"/>
      <c r="L20"/>
    </row>
    <row r="21" spans="1:14" x14ac:dyDescent="0.3">
      <c r="B21" s="6" t="s">
        <v>27</v>
      </c>
      <c r="C21" s="6">
        <v>3</v>
      </c>
      <c r="J21"/>
      <c r="K21"/>
      <c r="L21"/>
    </row>
    <row r="22" spans="1:14" x14ac:dyDescent="0.3">
      <c r="B22" s="6" t="s">
        <v>144</v>
      </c>
      <c r="C22" s="6">
        <v>3</v>
      </c>
      <c r="J22"/>
      <c r="K22"/>
      <c r="L22"/>
    </row>
    <row r="23" spans="1:14" x14ac:dyDescent="0.3">
      <c r="A23" s="6" t="s">
        <v>466</v>
      </c>
      <c r="C23" s="6">
        <v>35</v>
      </c>
      <c r="J23"/>
      <c r="K23"/>
      <c r="L23"/>
    </row>
    <row r="24" spans="1:14" x14ac:dyDescent="0.3">
      <c r="A24" s="6" t="s">
        <v>24</v>
      </c>
      <c r="B24" s="6" t="s">
        <v>96</v>
      </c>
      <c r="C24" s="6">
        <v>4</v>
      </c>
      <c r="J24"/>
      <c r="K24"/>
      <c r="L24"/>
    </row>
    <row r="25" spans="1:14" x14ac:dyDescent="0.3">
      <c r="B25" s="6" t="s">
        <v>58</v>
      </c>
      <c r="C25" s="6">
        <v>4</v>
      </c>
      <c r="J25"/>
      <c r="K25"/>
      <c r="L25"/>
    </row>
    <row r="26" spans="1:14" x14ac:dyDescent="0.3">
      <c r="B26" s="6" t="s">
        <v>75</v>
      </c>
      <c r="C26" s="6">
        <v>3</v>
      </c>
      <c r="J26"/>
      <c r="K26"/>
      <c r="L26"/>
      <c r="M26"/>
      <c r="N26"/>
    </row>
    <row r="27" spans="1:14" x14ac:dyDescent="0.3">
      <c r="B27" s="6" t="s">
        <v>229</v>
      </c>
      <c r="C27" s="6">
        <v>3</v>
      </c>
      <c r="J27"/>
      <c r="K27"/>
      <c r="L27"/>
      <c r="M27"/>
      <c r="N27"/>
    </row>
    <row r="28" spans="1:14" x14ac:dyDescent="0.3">
      <c r="B28" s="6" t="s">
        <v>157</v>
      </c>
      <c r="C28" s="6">
        <v>3</v>
      </c>
      <c r="J28"/>
      <c r="K28"/>
      <c r="L28"/>
      <c r="M28"/>
      <c r="N28"/>
    </row>
    <row r="29" spans="1:14" x14ac:dyDescent="0.3">
      <c r="B29" s="6" t="s">
        <v>296</v>
      </c>
      <c r="C29" s="6">
        <v>3</v>
      </c>
      <c r="J29"/>
      <c r="K29"/>
      <c r="L29"/>
      <c r="M29"/>
      <c r="N29"/>
    </row>
    <row r="30" spans="1:14" x14ac:dyDescent="0.3">
      <c r="B30" s="6" t="s">
        <v>89</v>
      </c>
      <c r="C30" s="6">
        <v>3</v>
      </c>
      <c r="J30"/>
      <c r="K30"/>
      <c r="L30"/>
      <c r="M30"/>
      <c r="N30"/>
    </row>
    <row r="31" spans="1:14" x14ac:dyDescent="0.3">
      <c r="B31" s="6" t="s">
        <v>132</v>
      </c>
      <c r="C31" s="6">
        <v>3</v>
      </c>
      <c r="J31"/>
      <c r="K31"/>
      <c r="L31"/>
      <c r="M31"/>
      <c r="N31"/>
    </row>
    <row r="32" spans="1:14" x14ac:dyDescent="0.3">
      <c r="A32" s="6" t="s">
        <v>467</v>
      </c>
      <c r="C32" s="6">
        <v>26</v>
      </c>
      <c r="J32"/>
      <c r="K32"/>
      <c r="L32"/>
      <c r="M32"/>
      <c r="N32"/>
    </row>
    <row r="33" spans="1:14" x14ac:dyDescent="0.3">
      <c r="A33" s="6" t="s">
        <v>442</v>
      </c>
      <c r="C33" s="6">
        <v>98</v>
      </c>
      <c r="J33"/>
      <c r="K33"/>
      <c r="L33"/>
      <c r="M33"/>
      <c r="N33"/>
    </row>
    <row r="34" spans="1:14" x14ac:dyDescent="0.3">
      <c r="A34"/>
      <c r="B34"/>
      <c r="C34"/>
      <c r="F34"/>
      <c r="G34"/>
      <c r="H34"/>
      <c r="J34"/>
      <c r="K34"/>
      <c r="L34"/>
      <c r="M34"/>
      <c r="N34"/>
    </row>
    <row r="35" spans="1:14" x14ac:dyDescent="0.3">
      <c r="A35"/>
      <c r="B35"/>
      <c r="C35"/>
      <c r="F35"/>
      <c r="G35"/>
      <c r="H35"/>
      <c r="J35"/>
      <c r="K35"/>
      <c r="L35"/>
      <c r="M35"/>
      <c r="N35"/>
    </row>
    <row r="36" spans="1:14" x14ac:dyDescent="0.3">
      <c r="A36" s="21" t="s">
        <v>11</v>
      </c>
      <c r="B36" s="21" t="s">
        <v>5</v>
      </c>
      <c r="C36" s="6" t="s">
        <v>443</v>
      </c>
      <c r="F36"/>
      <c r="G36"/>
      <c r="H36"/>
      <c r="J36"/>
      <c r="K36"/>
      <c r="L36"/>
      <c r="M36"/>
      <c r="N36"/>
    </row>
    <row r="37" spans="1:14" x14ac:dyDescent="0.3">
      <c r="A37" s="6" t="s">
        <v>28</v>
      </c>
      <c r="B37" s="6" t="s">
        <v>18</v>
      </c>
      <c r="C37" s="6">
        <v>6829.8499999999995</v>
      </c>
      <c r="J37"/>
      <c r="K37"/>
      <c r="L37"/>
      <c r="M37"/>
      <c r="N37"/>
    </row>
    <row r="38" spans="1:14" x14ac:dyDescent="0.3">
      <c r="B38" s="6" t="s">
        <v>89</v>
      </c>
      <c r="C38" s="6">
        <v>6799.88</v>
      </c>
      <c r="J38"/>
      <c r="K38"/>
      <c r="L38"/>
      <c r="M38"/>
      <c r="N38"/>
    </row>
    <row r="39" spans="1:14" x14ac:dyDescent="0.3">
      <c r="B39" s="6" t="s">
        <v>102</v>
      </c>
      <c r="C39" s="6">
        <v>5949.84</v>
      </c>
      <c r="J39"/>
      <c r="K39"/>
      <c r="L39"/>
      <c r="M39"/>
      <c r="N39"/>
    </row>
    <row r="40" spans="1:14" x14ac:dyDescent="0.3">
      <c r="B40" s="6" t="s">
        <v>237</v>
      </c>
      <c r="C40" s="6">
        <v>5599.88</v>
      </c>
      <c r="J40"/>
      <c r="K40"/>
      <c r="L40"/>
      <c r="M40"/>
      <c r="N40"/>
    </row>
    <row r="41" spans="1:14" x14ac:dyDescent="0.3">
      <c r="B41" s="6" t="s">
        <v>51</v>
      </c>
      <c r="C41" s="6">
        <v>4449.88</v>
      </c>
      <c r="J41"/>
      <c r="K41"/>
      <c r="L41"/>
      <c r="M41"/>
      <c r="N41"/>
    </row>
    <row r="42" spans="1:14" x14ac:dyDescent="0.3">
      <c r="A42" s="6" t="s">
        <v>468</v>
      </c>
      <c r="C42" s="6">
        <v>29629.329999999998</v>
      </c>
      <c r="J42"/>
      <c r="K42"/>
      <c r="L42"/>
      <c r="M42"/>
      <c r="N42"/>
    </row>
    <row r="43" spans="1:14" x14ac:dyDescent="0.3">
      <c r="A43" s="6" t="s">
        <v>22</v>
      </c>
      <c r="B43" s="6" t="s">
        <v>99</v>
      </c>
      <c r="C43" s="6">
        <v>10199.849999999999</v>
      </c>
      <c r="F43"/>
      <c r="G43"/>
      <c r="H43"/>
      <c r="J43"/>
      <c r="K43"/>
      <c r="L43"/>
      <c r="M43"/>
      <c r="N43"/>
    </row>
    <row r="44" spans="1:14" x14ac:dyDescent="0.3">
      <c r="B44" s="6" t="s">
        <v>58</v>
      </c>
      <c r="C44" s="6">
        <v>4819.7699999999995</v>
      </c>
      <c r="F44"/>
      <c r="G44"/>
      <c r="H44"/>
      <c r="J44"/>
      <c r="K44"/>
      <c r="L44"/>
      <c r="M44"/>
      <c r="N44"/>
    </row>
    <row r="45" spans="1:14" x14ac:dyDescent="0.3">
      <c r="B45" s="6" t="s">
        <v>161</v>
      </c>
      <c r="C45" s="6">
        <v>4499.8999999999996</v>
      </c>
      <c r="J45"/>
      <c r="K45"/>
      <c r="L45"/>
      <c r="M45"/>
      <c r="N45"/>
    </row>
    <row r="46" spans="1:14" x14ac:dyDescent="0.3">
      <c r="B46" s="6" t="s">
        <v>45</v>
      </c>
      <c r="C46" s="6">
        <v>3299.87</v>
      </c>
      <c r="J46"/>
      <c r="K46"/>
      <c r="L46"/>
      <c r="M46"/>
      <c r="N46"/>
    </row>
    <row r="47" spans="1:14" x14ac:dyDescent="0.3">
      <c r="B47" s="6" t="s">
        <v>102</v>
      </c>
      <c r="C47" s="6">
        <v>3249.91</v>
      </c>
      <c r="J47"/>
      <c r="K47"/>
      <c r="L47"/>
      <c r="M47"/>
      <c r="N47"/>
    </row>
    <row r="48" spans="1:14" x14ac:dyDescent="0.3">
      <c r="A48" s="6" t="s">
        <v>470</v>
      </c>
      <c r="C48" s="6">
        <v>26069.299999999996</v>
      </c>
      <c r="J48"/>
      <c r="K48"/>
      <c r="L48"/>
      <c r="M48"/>
      <c r="N48"/>
    </row>
    <row r="49" spans="1:14" x14ac:dyDescent="0.3">
      <c r="A49" s="6" t="s">
        <v>59</v>
      </c>
      <c r="B49" s="6" t="s">
        <v>229</v>
      </c>
      <c r="C49" s="6">
        <v>5879.869999999999</v>
      </c>
      <c r="J49"/>
      <c r="K49"/>
      <c r="L49"/>
      <c r="M49"/>
      <c r="N49"/>
    </row>
    <row r="50" spans="1:14" x14ac:dyDescent="0.3">
      <c r="B50" s="6" t="s">
        <v>199</v>
      </c>
      <c r="C50" s="6">
        <v>5499.91</v>
      </c>
      <c r="J50"/>
      <c r="K50"/>
      <c r="L50"/>
      <c r="M50"/>
      <c r="N50"/>
    </row>
    <row r="51" spans="1:14" x14ac:dyDescent="0.3">
      <c r="B51" s="6" t="s">
        <v>89</v>
      </c>
      <c r="C51" s="6">
        <v>4999.88</v>
      </c>
      <c r="J51"/>
      <c r="K51"/>
      <c r="L51"/>
      <c r="M51"/>
      <c r="N51"/>
    </row>
    <row r="52" spans="1:14" x14ac:dyDescent="0.3">
      <c r="B52" s="6" t="s">
        <v>150</v>
      </c>
      <c r="C52" s="6">
        <v>4499.95</v>
      </c>
      <c r="F52"/>
      <c r="G52"/>
      <c r="H52"/>
      <c r="J52"/>
      <c r="K52"/>
      <c r="L52"/>
      <c r="M52"/>
      <c r="N52"/>
    </row>
    <row r="53" spans="1:14" x14ac:dyDescent="0.3">
      <c r="B53" s="6" t="s">
        <v>27</v>
      </c>
      <c r="C53" s="6">
        <v>4499.95</v>
      </c>
      <c r="F53"/>
      <c r="G53"/>
      <c r="H53"/>
      <c r="J53"/>
      <c r="K53"/>
      <c r="L53"/>
      <c r="M53"/>
      <c r="N53"/>
    </row>
    <row r="54" spans="1:14" x14ac:dyDescent="0.3">
      <c r="A54" s="6" t="s">
        <v>471</v>
      </c>
      <c r="C54" s="6">
        <v>25379.56</v>
      </c>
      <c r="F54"/>
      <c r="G54"/>
      <c r="H54"/>
      <c r="J54"/>
      <c r="K54"/>
      <c r="L54"/>
      <c r="M54"/>
      <c r="N54"/>
    </row>
    <row r="55" spans="1:14" x14ac:dyDescent="0.3">
      <c r="A55" s="6" t="s">
        <v>36</v>
      </c>
      <c r="B55" s="6" t="s">
        <v>126</v>
      </c>
      <c r="C55" s="6">
        <v>7999.9</v>
      </c>
      <c r="F55"/>
      <c r="G55"/>
      <c r="H55"/>
      <c r="J55"/>
      <c r="K55"/>
      <c r="L55"/>
      <c r="M55"/>
      <c r="N55"/>
    </row>
    <row r="56" spans="1:14" x14ac:dyDescent="0.3">
      <c r="B56" s="6" t="s">
        <v>147</v>
      </c>
      <c r="C56" s="6">
        <v>4769.92</v>
      </c>
      <c r="F56"/>
      <c r="G56"/>
      <c r="H56"/>
      <c r="J56"/>
      <c r="K56"/>
      <c r="L56"/>
      <c r="M56"/>
      <c r="N56"/>
    </row>
    <row r="57" spans="1:14" x14ac:dyDescent="0.3">
      <c r="B57" s="6" t="s">
        <v>255</v>
      </c>
      <c r="C57" s="6">
        <v>4749.91</v>
      </c>
      <c r="F57"/>
      <c r="G57"/>
      <c r="H57"/>
      <c r="J57"/>
      <c r="K57"/>
      <c r="L57"/>
      <c r="M57"/>
      <c r="N57"/>
    </row>
    <row r="58" spans="1:14" x14ac:dyDescent="0.3">
      <c r="B58" s="6" t="s">
        <v>144</v>
      </c>
      <c r="C58" s="6">
        <v>3499.95</v>
      </c>
      <c r="F58"/>
      <c r="G58"/>
      <c r="H58"/>
      <c r="J58"/>
      <c r="K58"/>
      <c r="L58"/>
      <c r="M58"/>
      <c r="N58"/>
    </row>
    <row r="59" spans="1:14" x14ac:dyDescent="0.3">
      <c r="B59" s="6" t="s">
        <v>157</v>
      </c>
      <c r="C59" s="6">
        <v>2849.92</v>
      </c>
      <c r="F59"/>
      <c r="G59"/>
      <c r="H59"/>
      <c r="J59"/>
      <c r="K59"/>
      <c r="L59"/>
      <c r="M59"/>
      <c r="N59"/>
    </row>
    <row r="60" spans="1:14" x14ac:dyDescent="0.3">
      <c r="A60" s="6" t="s">
        <v>469</v>
      </c>
      <c r="C60" s="6">
        <v>23869.600000000002</v>
      </c>
      <c r="F60"/>
      <c r="G60"/>
      <c r="H60"/>
      <c r="J60"/>
      <c r="K60"/>
      <c r="L60"/>
      <c r="M60"/>
      <c r="N60"/>
    </row>
    <row r="61" spans="1:14" x14ac:dyDescent="0.3">
      <c r="A61" s="6" t="s">
        <v>442</v>
      </c>
      <c r="C61" s="6">
        <v>104947.78999999998</v>
      </c>
      <c r="F61"/>
      <c r="G61"/>
      <c r="H61"/>
      <c r="J61"/>
      <c r="K61"/>
      <c r="L61"/>
      <c r="M61"/>
      <c r="N61"/>
    </row>
    <row r="62" spans="1:14" x14ac:dyDescent="0.3">
      <c r="A62"/>
      <c r="B62"/>
      <c r="C62"/>
      <c r="F62"/>
      <c r="G62"/>
      <c r="H62"/>
      <c r="J62"/>
      <c r="K62"/>
      <c r="L62"/>
      <c r="M62"/>
      <c r="N62"/>
    </row>
    <row r="63" spans="1:14" x14ac:dyDescent="0.3">
      <c r="A63"/>
      <c r="B63"/>
      <c r="C63"/>
      <c r="F63"/>
      <c r="G63"/>
      <c r="H63"/>
      <c r="J63"/>
      <c r="K63"/>
      <c r="L63"/>
      <c r="M63"/>
      <c r="N63"/>
    </row>
    <row r="64" spans="1:14" x14ac:dyDescent="0.3">
      <c r="A64" s="21" t="s">
        <v>12</v>
      </c>
      <c r="B64" s="21" t="s">
        <v>5</v>
      </c>
      <c r="C64" s="6" t="s">
        <v>443</v>
      </c>
      <c r="F64"/>
      <c r="G64"/>
      <c r="H64"/>
      <c r="J64"/>
      <c r="K64"/>
      <c r="L64"/>
      <c r="M64"/>
      <c r="N64"/>
    </row>
    <row r="65" spans="1:14" x14ac:dyDescent="0.3">
      <c r="A65" s="6" t="s">
        <v>65</v>
      </c>
      <c r="B65" s="6" t="s">
        <v>102</v>
      </c>
      <c r="C65" s="6">
        <v>7299.89</v>
      </c>
      <c r="F65"/>
      <c r="G65"/>
      <c r="H65"/>
      <c r="J65"/>
      <c r="K65"/>
      <c r="L65"/>
      <c r="M65"/>
      <c r="N65"/>
    </row>
    <row r="66" spans="1:14" x14ac:dyDescent="0.3">
      <c r="B66" s="6" t="s">
        <v>99</v>
      </c>
      <c r="C66" s="6">
        <v>6199.92</v>
      </c>
      <c r="F66"/>
      <c r="G66"/>
      <c r="H66"/>
      <c r="J66"/>
      <c r="K66"/>
      <c r="L66"/>
      <c r="M66"/>
      <c r="N66"/>
    </row>
    <row r="67" spans="1:14" x14ac:dyDescent="0.3">
      <c r="B67" s="6" t="s">
        <v>150</v>
      </c>
      <c r="C67" s="6">
        <v>4949.8999999999996</v>
      </c>
      <c r="F67"/>
      <c r="G67"/>
      <c r="H67"/>
      <c r="I67" s="27"/>
      <c r="J67"/>
      <c r="K67"/>
      <c r="L67"/>
      <c r="M67"/>
      <c r="N67"/>
    </row>
    <row r="68" spans="1:14" x14ac:dyDescent="0.3">
      <c r="B68" s="6" t="s">
        <v>126</v>
      </c>
      <c r="C68" s="6">
        <v>4739.91</v>
      </c>
      <c r="F68"/>
      <c r="G68"/>
      <c r="H68"/>
      <c r="J68"/>
      <c r="K68"/>
      <c r="L68"/>
      <c r="M68"/>
      <c r="N68"/>
    </row>
    <row r="69" spans="1:14" x14ac:dyDescent="0.3">
      <c r="B69" s="6" t="s">
        <v>199</v>
      </c>
      <c r="C69" s="6">
        <v>4499.95</v>
      </c>
      <c r="F69"/>
      <c r="G69"/>
      <c r="H69"/>
      <c r="J69"/>
      <c r="K69"/>
      <c r="L69"/>
      <c r="M69"/>
      <c r="N69"/>
    </row>
    <row r="70" spans="1:14" x14ac:dyDescent="0.3">
      <c r="B70" s="6" t="s">
        <v>147</v>
      </c>
      <c r="C70" s="6">
        <v>4499.95</v>
      </c>
      <c r="F70"/>
      <c r="G70"/>
      <c r="H70"/>
      <c r="J70"/>
      <c r="K70"/>
      <c r="L70"/>
      <c r="M70"/>
      <c r="N70"/>
    </row>
    <row r="71" spans="1:14" x14ac:dyDescent="0.3">
      <c r="A71" s="6" t="s">
        <v>472</v>
      </c>
      <c r="C71" s="6">
        <v>32189.52</v>
      </c>
      <c r="F71"/>
      <c r="G71"/>
      <c r="H71"/>
      <c r="J71"/>
      <c r="K71"/>
      <c r="L71"/>
      <c r="M71"/>
      <c r="N71"/>
    </row>
    <row r="72" spans="1:14" x14ac:dyDescent="0.3">
      <c r="A72" s="6" t="s">
        <v>42</v>
      </c>
      <c r="B72" s="6" t="s">
        <v>51</v>
      </c>
      <c r="C72" s="6">
        <v>5499.93</v>
      </c>
      <c r="F72"/>
      <c r="G72"/>
      <c r="H72"/>
      <c r="J72"/>
      <c r="K72"/>
      <c r="L72"/>
      <c r="M72"/>
      <c r="N72"/>
    </row>
    <row r="73" spans="1:14" x14ac:dyDescent="0.3">
      <c r="B73" s="6" t="s">
        <v>161</v>
      </c>
      <c r="C73" s="6">
        <v>5499.86</v>
      </c>
      <c r="F73"/>
      <c r="G73"/>
      <c r="H73"/>
      <c r="J73"/>
      <c r="K73"/>
      <c r="L73"/>
      <c r="M73"/>
      <c r="N73"/>
    </row>
    <row r="74" spans="1:14" x14ac:dyDescent="0.3">
      <c r="B74" s="6" t="s">
        <v>237</v>
      </c>
      <c r="C74" s="6">
        <v>5449.86</v>
      </c>
      <c r="F74"/>
      <c r="G74"/>
      <c r="H74"/>
      <c r="J74"/>
      <c r="K74"/>
      <c r="L74"/>
      <c r="M74"/>
      <c r="N74"/>
    </row>
    <row r="75" spans="1:14" x14ac:dyDescent="0.3">
      <c r="B75" s="6" t="s">
        <v>89</v>
      </c>
      <c r="C75" s="6">
        <v>4699.87</v>
      </c>
      <c r="F75"/>
      <c r="G75"/>
      <c r="H75"/>
      <c r="J75"/>
      <c r="K75"/>
      <c r="L75"/>
      <c r="M75"/>
      <c r="N75"/>
    </row>
    <row r="76" spans="1:14" x14ac:dyDescent="0.3">
      <c r="B76" s="6" t="s">
        <v>296</v>
      </c>
      <c r="C76" s="6">
        <v>3349.92</v>
      </c>
      <c r="F76"/>
      <c r="G76"/>
      <c r="H76"/>
      <c r="J76"/>
      <c r="K76"/>
      <c r="L76"/>
      <c r="M76"/>
      <c r="N76"/>
    </row>
    <row r="77" spans="1:14" x14ac:dyDescent="0.3">
      <c r="A77" s="6" t="s">
        <v>473</v>
      </c>
      <c r="C77" s="6">
        <v>24499.440000000002</v>
      </c>
      <c r="F77"/>
      <c r="G77"/>
      <c r="H77"/>
      <c r="J77"/>
      <c r="K77"/>
      <c r="L77"/>
      <c r="M77"/>
      <c r="N77"/>
    </row>
    <row r="78" spans="1:14" x14ac:dyDescent="0.3">
      <c r="A78" s="6" t="s">
        <v>52</v>
      </c>
      <c r="B78" s="6" t="s">
        <v>89</v>
      </c>
      <c r="C78" s="6">
        <v>10599.819999999998</v>
      </c>
      <c r="F78"/>
      <c r="G78"/>
      <c r="H78"/>
      <c r="J78"/>
      <c r="K78"/>
      <c r="L78"/>
    </row>
    <row r="79" spans="1:14" x14ac:dyDescent="0.3">
      <c r="B79" s="6" t="s">
        <v>99</v>
      </c>
      <c r="C79" s="6">
        <v>3499.95</v>
      </c>
      <c r="F79"/>
      <c r="G79"/>
      <c r="H79"/>
      <c r="J79"/>
      <c r="K79"/>
      <c r="L79"/>
    </row>
    <row r="80" spans="1:14" x14ac:dyDescent="0.3">
      <c r="B80" s="6" t="s">
        <v>144</v>
      </c>
      <c r="C80" s="6">
        <v>3499.95</v>
      </c>
      <c r="F80"/>
      <c r="G80"/>
      <c r="H80"/>
      <c r="J80"/>
      <c r="K80"/>
      <c r="L80"/>
    </row>
    <row r="81" spans="1:12" x14ac:dyDescent="0.3">
      <c r="B81" s="6" t="s">
        <v>68</v>
      </c>
      <c r="C81" s="6">
        <v>3159.91</v>
      </c>
      <c r="F81"/>
      <c r="G81"/>
      <c r="H81"/>
      <c r="J81"/>
      <c r="K81"/>
      <c r="L81"/>
    </row>
    <row r="82" spans="1:12" x14ac:dyDescent="0.3">
      <c r="B82" s="6" t="s">
        <v>86</v>
      </c>
      <c r="C82" s="6">
        <v>2699.97</v>
      </c>
      <c r="F82"/>
      <c r="G82"/>
      <c r="H82"/>
      <c r="J82"/>
      <c r="K82"/>
      <c r="L82"/>
    </row>
    <row r="83" spans="1:12" x14ac:dyDescent="0.3">
      <c r="A83" s="6" t="s">
        <v>474</v>
      </c>
      <c r="C83" s="6">
        <v>23459.599999999999</v>
      </c>
      <c r="F83"/>
      <c r="G83"/>
      <c r="H83"/>
      <c r="J83"/>
      <c r="K83"/>
      <c r="L83"/>
    </row>
    <row r="84" spans="1:12" x14ac:dyDescent="0.3">
      <c r="A84" s="6" t="s">
        <v>37</v>
      </c>
      <c r="B84" s="6" t="s">
        <v>18</v>
      </c>
      <c r="C84" s="6">
        <v>5749.9</v>
      </c>
      <c r="F84"/>
      <c r="G84"/>
      <c r="H84"/>
      <c r="J84"/>
      <c r="K84"/>
      <c r="L84"/>
    </row>
    <row r="85" spans="1:12" x14ac:dyDescent="0.3">
      <c r="B85" s="6" t="s">
        <v>27</v>
      </c>
      <c r="C85" s="6">
        <v>4799.93</v>
      </c>
      <c r="F85"/>
      <c r="G85"/>
      <c r="H85"/>
      <c r="J85"/>
      <c r="K85"/>
      <c r="L85"/>
    </row>
    <row r="86" spans="1:12" x14ac:dyDescent="0.3">
      <c r="B86" s="6" t="s">
        <v>126</v>
      </c>
      <c r="C86" s="6">
        <v>3679.93</v>
      </c>
      <c r="F86"/>
      <c r="G86"/>
      <c r="H86"/>
      <c r="J86"/>
      <c r="K86"/>
      <c r="L86"/>
    </row>
    <row r="87" spans="1:12" x14ac:dyDescent="0.3">
      <c r="B87" s="6" t="s">
        <v>123</v>
      </c>
      <c r="C87" s="6">
        <v>3599.96</v>
      </c>
      <c r="F87"/>
      <c r="G87"/>
      <c r="H87"/>
      <c r="J87"/>
      <c r="K87"/>
      <c r="L87"/>
    </row>
    <row r="88" spans="1:12" x14ac:dyDescent="0.3">
      <c r="B88" s="6" t="s">
        <v>96</v>
      </c>
      <c r="C88" s="6">
        <v>3349.88</v>
      </c>
      <c r="F88"/>
      <c r="G88"/>
      <c r="H88"/>
      <c r="J88"/>
      <c r="K88"/>
      <c r="L88"/>
    </row>
    <row r="89" spans="1:12" x14ac:dyDescent="0.3">
      <c r="A89" s="6" t="s">
        <v>476</v>
      </c>
      <c r="C89" s="6">
        <v>21179.600000000002</v>
      </c>
      <c r="F89"/>
      <c r="G89"/>
      <c r="H89"/>
      <c r="J89"/>
      <c r="K89"/>
      <c r="L89"/>
    </row>
    <row r="90" spans="1:12" x14ac:dyDescent="0.3">
      <c r="A90" s="6" t="s">
        <v>23</v>
      </c>
      <c r="B90" s="6" t="s">
        <v>255</v>
      </c>
      <c r="C90" s="6">
        <v>3599.96</v>
      </c>
      <c r="F90"/>
      <c r="G90"/>
      <c r="H90"/>
      <c r="J90"/>
      <c r="K90"/>
      <c r="L90"/>
    </row>
    <row r="91" spans="1:12" x14ac:dyDescent="0.3">
      <c r="B91" s="6" t="s">
        <v>126</v>
      </c>
      <c r="C91" s="6">
        <v>3499.93</v>
      </c>
      <c r="F91"/>
      <c r="G91"/>
      <c r="H91"/>
      <c r="J91"/>
      <c r="K91"/>
      <c r="L91"/>
    </row>
    <row r="92" spans="1:12" x14ac:dyDescent="0.3">
      <c r="B92" s="6" t="s">
        <v>174</v>
      </c>
      <c r="C92" s="6">
        <v>2799.96</v>
      </c>
      <c r="F92"/>
      <c r="G92"/>
      <c r="H92"/>
      <c r="J92"/>
      <c r="K92"/>
      <c r="L92"/>
    </row>
    <row r="93" spans="1:12" x14ac:dyDescent="0.3">
      <c r="B93" s="6" t="s">
        <v>51</v>
      </c>
      <c r="C93" s="6">
        <v>2649.88</v>
      </c>
      <c r="F93"/>
      <c r="G93"/>
      <c r="H93"/>
      <c r="J93"/>
      <c r="K93"/>
      <c r="L93"/>
    </row>
    <row r="94" spans="1:12" x14ac:dyDescent="0.3">
      <c r="B94" s="6" t="s">
        <v>111</v>
      </c>
      <c r="C94" s="6">
        <v>2249.88</v>
      </c>
      <c r="F94"/>
      <c r="G94"/>
      <c r="H94"/>
      <c r="J94"/>
      <c r="K94"/>
      <c r="L94"/>
    </row>
    <row r="95" spans="1:12" x14ac:dyDescent="0.3">
      <c r="A95" s="6" t="s">
        <v>475</v>
      </c>
      <c r="C95" s="6">
        <v>14799.609999999997</v>
      </c>
      <c r="F95"/>
      <c r="G95"/>
      <c r="H95"/>
      <c r="J95"/>
      <c r="K95"/>
      <c r="L95"/>
    </row>
    <row r="96" spans="1:12" x14ac:dyDescent="0.3">
      <c r="A96" s="6" t="s">
        <v>442</v>
      </c>
      <c r="C96" s="6">
        <v>116127.76999999997</v>
      </c>
      <c r="F96"/>
      <c r="G96"/>
      <c r="H96"/>
      <c r="J96"/>
      <c r="K96"/>
      <c r="L96"/>
    </row>
    <row r="97" spans="1:12" x14ac:dyDescent="0.3">
      <c r="A97"/>
      <c r="B97"/>
      <c r="C97"/>
      <c r="F97"/>
      <c r="G97"/>
      <c r="H97"/>
      <c r="J97"/>
      <c r="K97"/>
      <c r="L97"/>
    </row>
    <row r="98" spans="1:12" x14ac:dyDescent="0.3">
      <c r="A98"/>
      <c r="B98"/>
      <c r="C98"/>
      <c r="F98"/>
      <c r="G98"/>
      <c r="H98"/>
      <c r="J98"/>
      <c r="K98"/>
      <c r="L98"/>
    </row>
    <row r="99" spans="1:12" x14ac:dyDescent="0.3">
      <c r="A99" s="21" t="s">
        <v>5</v>
      </c>
      <c r="B99" s="6" t="s">
        <v>443</v>
      </c>
      <c r="C99"/>
      <c r="F99"/>
      <c r="G99"/>
      <c r="H99"/>
      <c r="J99"/>
      <c r="K99"/>
      <c r="L99"/>
    </row>
    <row r="100" spans="1:12" x14ac:dyDescent="0.3">
      <c r="A100" s="6" t="s">
        <v>89</v>
      </c>
      <c r="B100" s="6">
        <v>15659.65</v>
      </c>
      <c r="C100"/>
      <c r="F100"/>
      <c r="G100"/>
      <c r="H100"/>
      <c r="J100"/>
      <c r="K100"/>
      <c r="L100"/>
    </row>
    <row r="101" spans="1:12" x14ac:dyDescent="0.3">
      <c r="A101" s="6" t="s">
        <v>126</v>
      </c>
      <c r="B101" s="6">
        <v>11919.769999999999</v>
      </c>
      <c r="C101"/>
      <c r="F101"/>
      <c r="G101"/>
      <c r="H101"/>
      <c r="J101"/>
      <c r="K101"/>
      <c r="L101"/>
    </row>
    <row r="102" spans="1:12" x14ac:dyDescent="0.3">
      <c r="A102" s="6" t="s">
        <v>99</v>
      </c>
      <c r="B102" s="6">
        <v>10649.8</v>
      </c>
      <c r="C102"/>
      <c r="F102"/>
      <c r="G102"/>
      <c r="H102"/>
      <c r="J102"/>
      <c r="K102"/>
      <c r="L102"/>
    </row>
    <row r="103" spans="1:12" x14ac:dyDescent="0.3">
      <c r="A103" s="6" t="s">
        <v>102</v>
      </c>
      <c r="B103" s="6">
        <v>9799.73</v>
      </c>
      <c r="C103"/>
      <c r="F103"/>
      <c r="G103"/>
      <c r="H103"/>
      <c r="J103"/>
      <c r="K103"/>
      <c r="L103"/>
    </row>
    <row r="104" spans="1:12" x14ac:dyDescent="0.3">
      <c r="A104" s="6" t="s">
        <v>18</v>
      </c>
      <c r="B104" s="6">
        <v>8309.739999999998</v>
      </c>
      <c r="C104"/>
      <c r="F104"/>
      <c r="G104"/>
      <c r="H104"/>
      <c r="J104"/>
      <c r="K104"/>
      <c r="L104"/>
    </row>
    <row r="105" spans="1:12" x14ac:dyDescent="0.3">
      <c r="A105" s="6" t="s">
        <v>51</v>
      </c>
      <c r="B105" s="6">
        <v>8269.7900000000009</v>
      </c>
      <c r="C105"/>
      <c r="F105"/>
      <c r="G105"/>
      <c r="H105"/>
      <c r="J105"/>
      <c r="K105"/>
      <c r="L105"/>
    </row>
    <row r="106" spans="1:12" x14ac:dyDescent="0.3">
      <c r="A106" s="6" t="s">
        <v>68</v>
      </c>
      <c r="B106" s="6">
        <v>8009.7699999999995</v>
      </c>
      <c r="C106"/>
      <c r="F106"/>
      <c r="G106"/>
      <c r="H106"/>
      <c r="J106"/>
      <c r="K106"/>
      <c r="L106"/>
    </row>
    <row r="107" spans="1:12" x14ac:dyDescent="0.3">
      <c r="A107" s="6" t="s">
        <v>150</v>
      </c>
      <c r="B107" s="6">
        <v>7309.7999999999993</v>
      </c>
      <c r="C107"/>
      <c r="F107"/>
      <c r="G107"/>
      <c r="H107"/>
      <c r="J107"/>
      <c r="K107"/>
      <c r="L107"/>
    </row>
    <row r="108" spans="1:12" x14ac:dyDescent="0.3">
      <c r="A108" s="6" t="s">
        <v>229</v>
      </c>
      <c r="B108" s="6">
        <v>6989.7699999999986</v>
      </c>
      <c r="C108"/>
      <c r="F108"/>
      <c r="G108"/>
      <c r="H108"/>
      <c r="J108"/>
      <c r="K108"/>
      <c r="L108"/>
    </row>
    <row r="109" spans="1:12" x14ac:dyDescent="0.3">
      <c r="A109" s="6" t="s">
        <v>27</v>
      </c>
      <c r="B109" s="6">
        <v>6949.84</v>
      </c>
      <c r="C109"/>
      <c r="F109"/>
      <c r="G109"/>
      <c r="H109"/>
      <c r="J109"/>
      <c r="K109"/>
      <c r="L109"/>
    </row>
    <row r="110" spans="1:12" x14ac:dyDescent="0.3">
      <c r="A110" s="6" t="s">
        <v>123</v>
      </c>
      <c r="B110" s="6">
        <v>6459.79</v>
      </c>
      <c r="C110"/>
      <c r="F110"/>
      <c r="G110"/>
      <c r="H110"/>
      <c r="J110"/>
      <c r="K110"/>
      <c r="L110"/>
    </row>
    <row r="111" spans="1:12" x14ac:dyDescent="0.3">
      <c r="A111" s="6" t="s">
        <v>199</v>
      </c>
      <c r="B111" s="6">
        <v>6379.87</v>
      </c>
      <c r="C111"/>
      <c r="F111"/>
      <c r="G111"/>
      <c r="H111"/>
      <c r="J111"/>
      <c r="K111"/>
      <c r="L111"/>
    </row>
    <row r="112" spans="1:12" x14ac:dyDescent="0.3">
      <c r="A112" s="6" t="s">
        <v>237</v>
      </c>
      <c r="B112" s="6">
        <v>6349.83</v>
      </c>
      <c r="C112"/>
      <c r="F112"/>
      <c r="G112"/>
      <c r="H112"/>
      <c r="J112"/>
      <c r="K112"/>
      <c r="L112"/>
    </row>
    <row r="113" spans="1:12" x14ac:dyDescent="0.3">
      <c r="A113" s="6" t="s">
        <v>45</v>
      </c>
      <c r="B113" s="6">
        <v>6169.7400000000007</v>
      </c>
      <c r="C113"/>
      <c r="F113"/>
      <c r="G113"/>
      <c r="H113"/>
      <c r="J113"/>
      <c r="K113"/>
      <c r="L113"/>
    </row>
    <row r="114" spans="1:12" x14ac:dyDescent="0.3">
      <c r="A114" s="6" t="s">
        <v>75</v>
      </c>
      <c r="B114" s="6">
        <v>5949.85</v>
      </c>
      <c r="C114"/>
      <c r="F114"/>
      <c r="G114"/>
      <c r="H114"/>
      <c r="J114"/>
      <c r="K114"/>
      <c r="L114"/>
    </row>
    <row r="115" spans="1:12" x14ac:dyDescent="0.3">
      <c r="A115" s="6" t="s">
        <v>161</v>
      </c>
      <c r="B115" s="6">
        <v>5649.84</v>
      </c>
      <c r="C115"/>
      <c r="F115"/>
      <c r="G115"/>
      <c r="H115"/>
      <c r="J115"/>
      <c r="K115"/>
      <c r="L115"/>
    </row>
    <row r="116" spans="1:12" x14ac:dyDescent="0.3">
      <c r="A116" s="6" t="s">
        <v>153</v>
      </c>
      <c r="B116" s="6">
        <v>5619.869999999999</v>
      </c>
      <c r="C116"/>
      <c r="F116"/>
      <c r="G116"/>
      <c r="H116"/>
      <c r="J116"/>
      <c r="K116"/>
      <c r="L116"/>
    </row>
    <row r="117" spans="1:12" x14ac:dyDescent="0.3">
      <c r="A117" s="6" t="s">
        <v>147</v>
      </c>
      <c r="B117" s="6">
        <v>5519.8899999999994</v>
      </c>
      <c r="C117"/>
      <c r="F117"/>
      <c r="G117"/>
      <c r="H117"/>
      <c r="J117"/>
      <c r="K117"/>
      <c r="L117"/>
    </row>
    <row r="118" spans="1:12" x14ac:dyDescent="0.3">
      <c r="A118" s="6" t="s">
        <v>157</v>
      </c>
      <c r="B118" s="6">
        <v>5499.8099999999995</v>
      </c>
      <c r="C118"/>
      <c r="F118"/>
      <c r="G118"/>
      <c r="H118"/>
      <c r="J118"/>
      <c r="K118"/>
      <c r="L118"/>
    </row>
    <row r="119" spans="1:12" x14ac:dyDescent="0.3">
      <c r="A119" s="6" t="s">
        <v>58</v>
      </c>
      <c r="B119" s="6">
        <v>5089.7300000000005</v>
      </c>
      <c r="C119"/>
      <c r="F119"/>
      <c r="G119"/>
      <c r="H119"/>
      <c r="I119"/>
      <c r="J119"/>
      <c r="K119"/>
      <c r="L119"/>
    </row>
    <row r="120" spans="1:12" x14ac:dyDescent="0.3">
      <c r="A120" s="6" t="s">
        <v>296</v>
      </c>
      <c r="B120" s="6">
        <v>4829.8899999999994</v>
      </c>
      <c r="C120"/>
      <c r="F120"/>
      <c r="G120"/>
      <c r="H120"/>
      <c r="I120"/>
      <c r="J120"/>
      <c r="K120"/>
      <c r="L120"/>
    </row>
    <row r="121" spans="1:12" x14ac:dyDescent="0.3">
      <c r="A121" s="6" t="s">
        <v>96</v>
      </c>
      <c r="B121" s="6">
        <v>4789.7900000000009</v>
      </c>
      <c r="C121"/>
      <c r="F121"/>
      <c r="G121"/>
      <c r="H121"/>
      <c r="I121"/>
      <c r="J121"/>
      <c r="K121"/>
      <c r="L121"/>
    </row>
    <row r="122" spans="1:12" x14ac:dyDescent="0.3">
      <c r="A122" s="6" t="s">
        <v>255</v>
      </c>
      <c r="B122" s="6">
        <v>4749.91</v>
      </c>
      <c r="C122"/>
      <c r="F122"/>
      <c r="G122"/>
      <c r="H122"/>
      <c r="I122"/>
      <c r="J122"/>
      <c r="K122"/>
      <c r="L122"/>
    </row>
    <row r="123" spans="1:12" x14ac:dyDescent="0.3">
      <c r="A123" s="6" t="s">
        <v>144</v>
      </c>
      <c r="B123" s="6">
        <v>4739.8500000000004</v>
      </c>
      <c r="C123"/>
      <c r="F123"/>
      <c r="G123"/>
      <c r="H123"/>
      <c r="I123"/>
      <c r="J123"/>
      <c r="K123"/>
      <c r="L123"/>
    </row>
    <row r="124" spans="1:12" x14ac:dyDescent="0.3">
      <c r="A124" s="6" t="s">
        <v>41</v>
      </c>
      <c r="B124" s="6">
        <v>4309.8099999999995</v>
      </c>
      <c r="C124"/>
      <c r="F124"/>
      <c r="G124"/>
      <c r="H124"/>
      <c r="I124"/>
      <c r="J124"/>
      <c r="K124"/>
      <c r="L124"/>
    </row>
    <row r="125" spans="1:12" x14ac:dyDescent="0.3">
      <c r="A125" s="6" t="s">
        <v>81</v>
      </c>
      <c r="B125" s="6">
        <v>4199.9399999999996</v>
      </c>
      <c r="C125"/>
      <c r="F125"/>
      <c r="G125"/>
      <c r="H125"/>
      <c r="I125"/>
      <c r="J125"/>
      <c r="K125"/>
      <c r="L125"/>
    </row>
    <row r="126" spans="1:12" x14ac:dyDescent="0.3">
      <c r="A126" s="6" t="s">
        <v>111</v>
      </c>
      <c r="B126" s="6">
        <v>4189.7700000000004</v>
      </c>
      <c r="C126"/>
      <c r="F126"/>
      <c r="G126"/>
      <c r="H126"/>
      <c r="I126"/>
      <c r="J126"/>
      <c r="K126"/>
      <c r="L126"/>
    </row>
    <row r="127" spans="1:12" x14ac:dyDescent="0.3">
      <c r="A127" s="6" t="s">
        <v>86</v>
      </c>
      <c r="B127" s="6">
        <v>3779.93</v>
      </c>
      <c r="C127"/>
      <c r="F127"/>
      <c r="G127"/>
      <c r="H127"/>
      <c r="I127"/>
      <c r="J127"/>
      <c r="K127"/>
      <c r="L127"/>
    </row>
    <row r="128" spans="1:12" x14ac:dyDescent="0.3">
      <c r="A128" s="6" t="s">
        <v>105</v>
      </c>
      <c r="B128" s="6">
        <v>3769.8300000000004</v>
      </c>
      <c r="C128"/>
      <c r="F128"/>
      <c r="G128"/>
      <c r="H128"/>
      <c r="I128"/>
      <c r="J128"/>
      <c r="K128"/>
      <c r="L128"/>
    </row>
    <row r="129" spans="1:12" x14ac:dyDescent="0.3">
      <c r="A129" s="6" t="s">
        <v>174</v>
      </c>
      <c r="B129" s="6">
        <v>3669.8500000000004</v>
      </c>
      <c r="C129"/>
      <c r="F129"/>
      <c r="G129"/>
      <c r="H129"/>
      <c r="I129"/>
      <c r="J129"/>
      <c r="K129"/>
      <c r="L129"/>
    </row>
    <row r="130" spans="1:12" x14ac:dyDescent="0.3">
      <c r="A130" s="6" t="s">
        <v>214</v>
      </c>
      <c r="B130" s="6">
        <v>3649.8599999999997</v>
      </c>
      <c r="C130"/>
      <c r="G130"/>
      <c r="H130"/>
      <c r="I130"/>
      <c r="J130"/>
      <c r="K130"/>
      <c r="L130"/>
    </row>
    <row r="131" spans="1:12" x14ac:dyDescent="0.3">
      <c r="A131" s="6" t="s">
        <v>62</v>
      </c>
      <c r="B131" s="6">
        <v>3509.8999999999996</v>
      </c>
      <c r="C131"/>
      <c r="G131"/>
      <c r="H131"/>
      <c r="I131"/>
      <c r="J131"/>
      <c r="K131"/>
      <c r="L131"/>
    </row>
    <row r="132" spans="1:12" x14ac:dyDescent="0.3">
      <c r="A132" s="6" t="s">
        <v>32</v>
      </c>
      <c r="B132" s="6">
        <v>3259.87</v>
      </c>
      <c r="C132"/>
      <c r="G132"/>
      <c r="H132"/>
      <c r="I132"/>
      <c r="J132"/>
      <c r="K132"/>
      <c r="L132"/>
    </row>
    <row r="133" spans="1:12" x14ac:dyDescent="0.3">
      <c r="A133" s="6" t="s">
        <v>141</v>
      </c>
      <c r="B133" s="6">
        <v>2649.83</v>
      </c>
      <c r="C133"/>
      <c r="G133"/>
      <c r="H133"/>
      <c r="I133"/>
      <c r="J133"/>
      <c r="K133"/>
      <c r="L133"/>
    </row>
    <row r="134" spans="1:12" x14ac:dyDescent="0.3">
      <c r="A134" s="6" t="s">
        <v>188</v>
      </c>
      <c r="B134" s="6">
        <v>2099.88</v>
      </c>
      <c r="C134"/>
      <c r="G134"/>
      <c r="H134"/>
      <c r="I134"/>
      <c r="J134"/>
      <c r="K134"/>
      <c r="L134"/>
    </row>
    <row r="135" spans="1:12" x14ac:dyDescent="0.3">
      <c r="A135" s="6" t="s">
        <v>132</v>
      </c>
      <c r="B135" s="6">
        <v>2039.8000000000002</v>
      </c>
      <c r="C135"/>
      <c r="G135"/>
      <c r="H135"/>
      <c r="I135"/>
      <c r="J135"/>
      <c r="K135"/>
      <c r="L135"/>
    </row>
    <row r="136" spans="1:12" x14ac:dyDescent="0.3">
      <c r="A136" s="6" t="s">
        <v>71</v>
      </c>
      <c r="B136" s="6">
        <v>1979.89</v>
      </c>
      <c r="C136"/>
      <c r="G136"/>
      <c r="H136"/>
      <c r="I136"/>
      <c r="J136"/>
      <c r="K136"/>
      <c r="L136"/>
    </row>
    <row r="137" spans="1:12" x14ac:dyDescent="0.3">
      <c r="A137" s="6" t="s">
        <v>92</v>
      </c>
      <c r="B137" s="6">
        <v>1909.93</v>
      </c>
      <c r="C137"/>
      <c r="G137"/>
      <c r="H137"/>
      <c r="I137"/>
      <c r="J137"/>
      <c r="K137"/>
      <c r="L137"/>
    </row>
    <row r="138" spans="1:12" x14ac:dyDescent="0.3">
      <c r="A138" s="6" t="s">
        <v>185</v>
      </c>
      <c r="B138" s="6">
        <v>1809.84</v>
      </c>
      <c r="C138"/>
      <c r="G138"/>
      <c r="H138"/>
      <c r="I138"/>
      <c r="J138"/>
      <c r="K138"/>
      <c r="L138"/>
    </row>
    <row r="139" spans="1:12" x14ac:dyDescent="0.3">
      <c r="A139" s="6" t="s">
        <v>249</v>
      </c>
      <c r="B139" s="6">
        <v>1749.92</v>
      </c>
      <c r="C139"/>
      <c r="G139"/>
      <c r="H139"/>
      <c r="I139"/>
      <c r="J139"/>
      <c r="K139"/>
      <c r="L139"/>
    </row>
    <row r="140" spans="1:12" x14ac:dyDescent="0.3">
      <c r="A140" s="6" t="s">
        <v>328</v>
      </c>
      <c r="B140" s="6">
        <v>1559.94</v>
      </c>
      <c r="C140"/>
      <c r="G140"/>
      <c r="H140"/>
      <c r="I140"/>
      <c r="J140"/>
      <c r="K140"/>
      <c r="L140"/>
    </row>
    <row r="141" spans="1:12" x14ac:dyDescent="0.3">
      <c r="A141" s="6" t="s">
        <v>195</v>
      </c>
      <c r="B141" s="6">
        <v>1479.91</v>
      </c>
      <c r="C141"/>
      <c r="G141"/>
      <c r="H141"/>
      <c r="I141"/>
      <c r="J141"/>
      <c r="K141"/>
      <c r="L141"/>
    </row>
    <row r="142" spans="1:12" x14ac:dyDescent="0.3">
      <c r="A142" s="6" t="s">
        <v>115</v>
      </c>
      <c r="B142" s="6">
        <v>1289.9000000000001</v>
      </c>
      <c r="C142"/>
      <c r="G142"/>
      <c r="H142"/>
      <c r="I142"/>
      <c r="J142"/>
      <c r="K142"/>
      <c r="L142"/>
    </row>
    <row r="143" spans="1:12" x14ac:dyDescent="0.3">
      <c r="A143" s="6" t="s">
        <v>135</v>
      </c>
      <c r="B143" s="6">
        <v>1229.8800000000001</v>
      </c>
      <c r="C143"/>
      <c r="G143"/>
      <c r="H143"/>
      <c r="I143"/>
      <c r="J143"/>
      <c r="K143"/>
      <c r="L143"/>
    </row>
    <row r="144" spans="1:12" x14ac:dyDescent="0.3">
      <c r="A144" s="6" t="s">
        <v>234</v>
      </c>
      <c r="B144" s="6">
        <v>1149.93</v>
      </c>
      <c r="C144"/>
      <c r="G144"/>
      <c r="H144"/>
      <c r="I144"/>
      <c r="J144"/>
      <c r="K144"/>
      <c r="L144"/>
    </row>
    <row r="145" spans="1:12" x14ac:dyDescent="0.3">
      <c r="A145" s="6" t="s">
        <v>262</v>
      </c>
      <c r="B145" s="6">
        <v>739.93000000000006</v>
      </c>
      <c r="C145"/>
      <c r="G145"/>
      <c r="H145"/>
      <c r="I145"/>
      <c r="J145"/>
      <c r="K145"/>
      <c r="L145"/>
    </row>
    <row r="146" spans="1:12" x14ac:dyDescent="0.3">
      <c r="A146" s="6" t="s">
        <v>389</v>
      </c>
      <c r="B146" s="6">
        <v>599.96</v>
      </c>
      <c r="C146"/>
      <c r="G146"/>
      <c r="H146"/>
      <c r="I146"/>
      <c r="J146"/>
      <c r="K146"/>
      <c r="L146"/>
    </row>
    <row r="147" spans="1:12" x14ac:dyDescent="0.3">
      <c r="A147" s="6" t="s">
        <v>78</v>
      </c>
      <c r="B147" s="6">
        <v>479.91999999999996</v>
      </c>
      <c r="C147"/>
      <c r="G147"/>
      <c r="H147"/>
      <c r="I147"/>
      <c r="J147"/>
      <c r="K147"/>
      <c r="L147"/>
    </row>
    <row r="148" spans="1:12" x14ac:dyDescent="0.3">
      <c r="A148" s="6" t="s">
        <v>165</v>
      </c>
      <c r="B148" s="6">
        <v>239.96</v>
      </c>
      <c r="C148"/>
      <c r="G148"/>
      <c r="H148"/>
      <c r="I148"/>
      <c r="J148"/>
      <c r="K148"/>
      <c r="L148"/>
    </row>
    <row r="149" spans="1:12" x14ac:dyDescent="0.3">
      <c r="A149" s="6" t="s">
        <v>307</v>
      </c>
      <c r="B149" s="6">
        <v>179.97</v>
      </c>
      <c r="C149"/>
      <c r="G149"/>
      <c r="H149"/>
      <c r="I149"/>
      <c r="J149"/>
      <c r="K149"/>
      <c r="L149"/>
    </row>
    <row r="150" spans="1:12" x14ac:dyDescent="0.3">
      <c r="A150" s="6" t="s">
        <v>442</v>
      </c>
      <c r="B150" s="6">
        <v>229192.46999999997</v>
      </c>
      <c r="C150"/>
      <c r="G150"/>
      <c r="H150"/>
      <c r="I150"/>
      <c r="J150"/>
      <c r="K150"/>
      <c r="L150"/>
    </row>
    <row r="151" spans="1:12" x14ac:dyDescent="0.3">
      <c r="A151"/>
      <c r="B151"/>
      <c r="C151"/>
      <c r="G151"/>
      <c r="H151"/>
      <c r="I151"/>
      <c r="J151"/>
      <c r="K151"/>
      <c r="L151"/>
    </row>
    <row r="152" spans="1:12" x14ac:dyDescent="0.3">
      <c r="A152"/>
      <c r="B152"/>
      <c r="C152"/>
      <c r="G152"/>
      <c r="H152"/>
      <c r="I152"/>
      <c r="J152"/>
      <c r="K152"/>
      <c r="L152"/>
    </row>
    <row r="153" spans="1:12" x14ac:dyDescent="0.3">
      <c r="A153"/>
      <c r="B153"/>
      <c r="C153"/>
      <c r="G153"/>
      <c r="H153"/>
      <c r="I153"/>
      <c r="J153"/>
      <c r="K153"/>
      <c r="L153"/>
    </row>
    <row r="154" spans="1:12" x14ac:dyDescent="0.3">
      <c r="A154"/>
      <c r="B154"/>
      <c r="C154"/>
      <c r="G154"/>
      <c r="H154"/>
      <c r="I154"/>
      <c r="J154"/>
      <c r="K154"/>
      <c r="L154"/>
    </row>
    <row r="155" spans="1:12" x14ac:dyDescent="0.3">
      <c r="A155"/>
      <c r="B155"/>
      <c r="C155"/>
      <c r="G155"/>
      <c r="H155"/>
      <c r="I155"/>
      <c r="J155"/>
      <c r="K155"/>
      <c r="L155"/>
    </row>
    <row r="156" spans="1:12" x14ac:dyDescent="0.3">
      <c r="A156"/>
      <c r="B156"/>
      <c r="C156"/>
      <c r="G156"/>
      <c r="H156"/>
      <c r="I156"/>
      <c r="J156"/>
      <c r="K156"/>
      <c r="L156"/>
    </row>
    <row r="157" spans="1:12" x14ac:dyDescent="0.3">
      <c r="A157"/>
      <c r="B157"/>
      <c r="C157"/>
      <c r="G157"/>
      <c r="H157"/>
      <c r="I157"/>
      <c r="J157"/>
      <c r="K157"/>
      <c r="L157"/>
    </row>
    <row r="158" spans="1:12" x14ac:dyDescent="0.3">
      <c r="A158"/>
      <c r="B158"/>
      <c r="C158"/>
      <c r="G158"/>
      <c r="H158"/>
      <c r="I158"/>
      <c r="J158"/>
      <c r="K158"/>
      <c r="L158"/>
    </row>
    <row r="159" spans="1:12" x14ac:dyDescent="0.3">
      <c r="A159"/>
      <c r="B159"/>
      <c r="C159"/>
      <c r="G159"/>
      <c r="H159"/>
      <c r="I159"/>
      <c r="J159"/>
      <c r="K159"/>
      <c r="L159"/>
    </row>
    <row r="160" spans="1:12" x14ac:dyDescent="0.3">
      <c r="A160"/>
      <c r="B160"/>
      <c r="C160"/>
      <c r="G160"/>
      <c r="H160"/>
      <c r="I160"/>
      <c r="J160"/>
      <c r="K160"/>
      <c r="L160"/>
    </row>
    <row r="161" spans="1:12" x14ac:dyDescent="0.3">
      <c r="A161"/>
      <c r="B161"/>
      <c r="C161"/>
      <c r="G161"/>
      <c r="H161"/>
      <c r="I161"/>
      <c r="J161"/>
      <c r="K161"/>
      <c r="L161"/>
    </row>
    <row r="162" spans="1:12" x14ac:dyDescent="0.3">
      <c r="A162"/>
      <c r="B162"/>
      <c r="C162"/>
      <c r="G162"/>
      <c r="H162"/>
      <c r="I162"/>
      <c r="J162"/>
      <c r="K162"/>
      <c r="L162"/>
    </row>
    <row r="163" spans="1:12" x14ac:dyDescent="0.3">
      <c r="A163"/>
      <c r="B163"/>
      <c r="C163"/>
      <c r="G163"/>
      <c r="H163"/>
      <c r="I163"/>
      <c r="J163"/>
      <c r="K163"/>
      <c r="L163"/>
    </row>
    <row r="164" spans="1:12" x14ac:dyDescent="0.3">
      <c r="A164"/>
      <c r="B164"/>
      <c r="C164"/>
      <c r="G164"/>
      <c r="H164"/>
      <c r="I164"/>
      <c r="J164"/>
      <c r="K164"/>
      <c r="L164"/>
    </row>
    <row r="165" spans="1:12" x14ac:dyDescent="0.3">
      <c r="A165"/>
      <c r="B165"/>
      <c r="C165"/>
      <c r="G165"/>
      <c r="H165"/>
      <c r="I165"/>
      <c r="J165"/>
      <c r="K165"/>
      <c r="L165"/>
    </row>
    <row r="166" spans="1:12" x14ac:dyDescent="0.3">
      <c r="A166"/>
      <c r="B166"/>
      <c r="C166"/>
      <c r="G166"/>
      <c r="H166"/>
      <c r="I166"/>
      <c r="J166"/>
      <c r="K166"/>
      <c r="L166"/>
    </row>
    <row r="167" spans="1:12" x14ac:dyDescent="0.3">
      <c r="A167"/>
      <c r="B167"/>
      <c r="C167"/>
      <c r="G167"/>
      <c r="H167"/>
      <c r="I167"/>
      <c r="J167"/>
      <c r="K167"/>
      <c r="L167"/>
    </row>
    <row r="168" spans="1:12" x14ac:dyDescent="0.3">
      <c r="A168"/>
      <c r="B168"/>
      <c r="C168"/>
      <c r="G168"/>
      <c r="H168"/>
      <c r="I168"/>
      <c r="J168"/>
      <c r="K168"/>
      <c r="L168"/>
    </row>
    <row r="169" spans="1:12" x14ac:dyDescent="0.3">
      <c r="A169"/>
      <c r="B169"/>
      <c r="C169"/>
      <c r="G169"/>
      <c r="H169"/>
      <c r="I169"/>
      <c r="J169"/>
      <c r="K169"/>
      <c r="L169"/>
    </row>
    <row r="170" spans="1:12" x14ac:dyDescent="0.3">
      <c r="A170"/>
      <c r="B170"/>
      <c r="C170"/>
      <c r="G170"/>
      <c r="H170"/>
      <c r="I170"/>
      <c r="J170"/>
      <c r="K170"/>
      <c r="L170"/>
    </row>
    <row r="171" spans="1:12" x14ac:dyDescent="0.3">
      <c r="A171"/>
      <c r="B171"/>
      <c r="C171"/>
      <c r="G171"/>
      <c r="H171"/>
      <c r="I171"/>
      <c r="J171"/>
      <c r="K171"/>
      <c r="L171"/>
    </row>
    <row r="172" spans="1:12" x14ac:dyDescent="0.3">
      <c r="A172"/>
      <c r="B172"/>
      <c r="C172"/>
      <c r="G172"/>
      <c r="H172"/>
      <c r="I172"/>
      <c r="J172"/>
      <c r="K172"/>
      <c r="L172"/>
    </row>
    <row r="173" spans="1:12" x14ac:dyDescent="0.3">
      <c r="A173"/>
      <c r="B173"/>
      <c r="C173"/>
      <c r="G173"/>
      <c r="H173"/>
      <c r="I173"/>
      <c r="J173"/>
      <c r="K173"/>
      <c r="L173"/>
    </row>
    <row r="174" spans="1:12" x14ac:dyDescent="0.3">
      <c r="A174"/>
      <c r="B174"/>
      <c r="C174"/>
      <c r="G174"/>
      <c r="H174"/>
    </row>
    <row r="175" spans="1:12" x14ac:dyDescent="0.3">
      <c r="A175"/>
      <c r="B175"/>
      <c r="C175"/>
      <c r="G175"/>
      <c r="H175"/>
    </row>
    <row r="176" spans="1:12" x14ac:dyDescent="0.3">
      <c r="A176"/>
      <c r="B176"/>
      <c r="C176"/>
      <c r="G176"/>
      <c r="H176"/>
    </row>
    <row r="177" spans="1:8" x14ac:dyDescent="0.3">
      <c r="A177"/>
      <c r="B177"/>
      <c r="C177"/>
      <c r="G177"/>
      <c r="H177"/>
    </row>
    <row r="178" spans="1:8" x14ac:dyDescent="0.3">
      <c r="A178"/>
      <c r="B178"/>
      <c r="C178"/>
      <c r="G178"/>
      <c r="H178"/>
    </row>
    <row r="179" spans="1:8" x14ac:dyDescent="0.3">
      <c r="A179"/>
      <c r="B179"/>
      <c r="C179"/>
      <c r="G179"/>
      <c r="H179"/>
    </row>
    <row r="180" spans="1:8" x14ac:dyDescent="0.3">
      <c r="A180"/>
      <c r="B180"/>
      <c r="C180"/>
      <c r="G180"/>
      <c r="H180"/>
    </row>
    <row r="181" spans="1:8" x14ac:dyDescent="0.3">
      <c r="A181"/>
      <c r="B181"/>
      <c r="C181"/>
      <c r="G181"/>
      <c r="H181"/>
    </row>
    <row r="182" spans="1:8" x14ac:dyDescent="0.3">
      <c r="A182"/>
      <c r="B182"/>
      <c r="C182"/>
      <c r="G182"/>
      <c r="H182"/>
    </row>
    <row r="183" spans="1:8" x14ac:dyDescent="0.3">
      <c r="A183"/>
      <c r="B183"/>
      <c r="C183"/>
      <c r="G183"/>
      <c r="H183"/>
    </row>
    <row r="184" spans="1:8" x14ac:dyDescent="0.3">
      <c r="A184"/>
      <c r="B184"/>
      <c r="C184"/>
      <c r="G184"/>
      <c r="H184"/>
    </row>
    <row r="185" spans="1:8" x14ac:dyDescent="0.3">
      <c r="A185"/>
      <c r="B185"/>
      <c r="C185"/>
      <c r="G185"/>
      <c r="H185"/>
    </row>
    <row r="186" spans="1:8" x14ac:dyDescent="0.3">
      <c r="A186"/>
      <c r="B186"/>
      <c r="C186"/>
      <c r="G186"/>
      <c r="H186"/>
    </row>
    <row r="187" spans="1:8" x14ac:dyDescent="0.3">
      <c r="A187"/>
      <c r="B187"/>
      <c r="C187"/>
      <c r="G187"/>
      <c r="H187"/>
    </row>
    <row r="188" spans="1:8" x14ac:dyDescent="0.3">
      <c r="A188"/>
      <c r="B188"/>
      <c r="C188"/>
      <c r="G188"/>
      <c r="H188"/>
    </row>
    <row r="189" spans="1:8" x14ac:dyDescent="0.3">
      <c r="A189"/>
      <c r="B189"/>
      <c r="C189"/>
      <c r="G189"/>
      <c r="H189"/>
    </row>
    <row r="190" spans="1:8" x14ac:dyDescent="0.3">
      <c r="A190"/>
      <c r="B190"/>
      <c r="C190"/>
      <c r="G190"/>
      <c r="H190"/>
    </row>
    <row r="191" spans="1:8" x14ac:dyDescent="0.3">
      <c r="A191"/>
      <c r="B191"/>
      <c r="C191"/>
      <c r="G191"/>
      <c r="H191"/>
    </row>
    <row r="192" spans="1:8" x14ac:dyDescent="0.3">
      <c r="A192"/>
      <c r="B192"/>
      <c r="C192"/>
      <c r="G192"/>
      <c r="H192"/>
    </row>
    <row r="193" spans="1:8" x14ac:dyDescent="0.3">
      <c r="A193"/>
      <c r="B193"/>
      <c r="C193"/>
      <c r="G193"/>
      <c r="H193"/>
    </row>
    <row r="194" spans="1:8" x14ac:dyDescent="0.3">
      <c r="A194"/>
      <c r="B194"/>
      <c r="C194"/>
      <c r="G194"/>
      <c r="H194"/>
    </row>
    <row r="195" spans="1:8" x14ac:dyDescent="0.3">
      <c r="A195"/>
      <c r="B195"/>
      <c r="C195"/>
      <c r="G195"/>
      <c r="H195"/>
    </row>
    <row r="196" spans="1:8" x14ac:dyDescent="0.3">
      <c r="A196"/>
      <c r="B196"/>
      <c r="C196"/>
      <c r="G196"/>
      <c r="H196"/>
    </row>
    <row r="197" spans="1:8" x14ac:dyDescent="0.3">
      <c r="A197"/>
      <c r="B197"/>
      <c r="C197"/>
      <c r="G197"/>
      <c r="H197"/>
    </row>
    <row r="198" spans="1:8" x14ac:dyDescent="0.3">
      <c r="A198"/>
      <c r="B198"/>
      <c r="C198"/>
      <c r="G198"/>
      <c r="H198"/>
    </row>
    <row r="199" spans="1:8" x14ac:dyDescent="0.3">
      <c r="A199"/>
      <c r="B199"/>
      <c r="C199"/>
      <c r="G199"/>
      <c r="H199"/>
    </row>
    <row r="200" spans="1:8" x14ac:dyDescent="0.3">
      <c r="A200"/>
      <c r="B200"/>
      <c r="C200"/>
      <c r="G200"/>
      <c r="H200"/>
    </row>
    <row r="201" spans="1:8" x14ac:dyDescent="0.3">
      <c r="A201"/>
      <c r="B201"/>
      <c r="C201"/>
      <c r="G201"/>
      <c r="H201"/>
    </row>
    <row r="202" spans="1:8" x14ac:dyDescent="0.3">
      <c r="A202"/>
      <c r="B202"/>
      <c r="C202"/>
      <c r="G202"/>
      <c r="H202"/>
    </row>
    <row r="203" spans="1:8" x14ac:dyDescent="0.3">
      <c r="A203"/>
      <c r="B203"/>
      <c r="C203"/>
      <c r="G203"/>
      <c r="H203"/>
    </row>
    <row r="204" spans="1:8" x14ac:dyDescent="0.3">
      <c r="A204"/>
      <c r="B204"/>
      <c r="C204"/>
      <c r="G204"/>
      <c r="H204"/>
    </row>
    <row r="205" spans="1:8" x14ac:dyDescent="0.3">
      <c r="A205"/>
      <c r="B205"/>
      <c r="C205"/>
      <c r="G205"/>
      <c r="H205"/>
    </row>
    <row r="206" spans="1:8" x14ac:dyDescent="0.3">
      <c r="A206"/>
      <c r="B206"/>
      <c r="C206"/>
      <c r="G206"/>
      <c r="H206"/>
    </row>
    <row r="207" spans="1:8" x14ac:dyDescent="0.3">
      <c r="A207"/>
      <c r="B207"/>
      <c r="C207"/>
      <c r="G207"/>
      <c r="H207"/>
    </row>
    <row r="208" spans="1:8" x14ac:dyDescent="0.3">
      <c r="A208"/>
      <c r="B208"/>
      <c r="C208"/>
      <c r="G208"/>
      <c r="H208"/>
    </row>
    <row r="209" spans="1:8" x14ac:dyDescent="0.3">
      <c r="A209"/>
      <c r="B209"/>
      <c r="C209"/>
      <c r="G209"/>
      <c r="H209"/>
    </row>
    <row r="210" spans="1:8" x14ac:dyDescent="0.3">
      <c r="A210"/>
      <c r="B210"/>
      <c r="C210"/>
      <c r="G210"/>
      <c r="H210"/>
    </row>
    <row r="211" spans="1:8" x14ac:dyDescent="0.3">
      <c r="A211"/>
      <c r="B211"/>
      <c r="C211"/>
      <c r="G211"/>
      <c r="H211"/>
    </row>
    <row r="212" spans="1:8" x14ac:dyDescent="0.3">
      <c r="A212"/>
      <c r="B212"/>
      <c r="C212"/>
      <c r="G212"/>
      <c r="H212"/>
    </row>
    <row r="213" spans="1:8" x14ac:dyDescent="0.3">
      <c r="A213"/>
      <c r="B213"/>
      <c r="C213"/>
      <c r="G213"/>
      <c r="H213"/>
    </row>
    <row r="214" spans="1:8" x14ac:dyDescent="0.3">
      <c r="A214"/>
      <c r="B214"/>
      <c r="C214"/>
      <c r="G214"/>
      <c r="H214"/>
    </row>
    <row r="215" spans="1:8" x14ac:dyDescent="0.3">
      <c r="A215"/>
      <c r="B215"/>
      <c r="C215"/>
      <c r="G215"/>
      <c r="H215"/>
    </row>
    <row r="216" spans="1:8" x14ac:dyDescent="0.3">
      <c r="A216"/>
      <c r="B216"/>
      <c r="C216"/>
      <c r="G216"/>
      <c r="H216"/>
    </row>
    <row r="217" spans="1:8" x14ac:dyDescent="0.3">
      <c r="A217"/>
      <c r="B217"/>
      <c r="C217"/>
      <c r="G217"/>
      <c r="H217"/>
    </row>
    <row r="218" spans="1:8" x14ac:dyDescent="0.3">
      <c r="A218"/>
      <c r="B218"/>
      <c r="C218"/>
      <c r="G218"/>
      <c r="H218"/>
    </row>
    <row r="219" spans="1:8" x14ac:dyDescent="0.3">
      <c r="A219"/>
      <c r="B219"/>
      <c r="C219"/>
      <c r="G219"/>
      <c r="H219"/>
    </row>
    <row r="220" spans="1:8" x14ac:dyDescent="0.3">
      <c r="A220"/>
      <c r="B220"/>
      <c r="C220"/>
      <c r="G220"/>
      <c r="H220"/>
    </row>
    <row r="221" spans="1:8" x14ac:dyDescent="0.3">
      <c r="A221"/>
      <c r="B221"/>
      <c r="C221"/>
      <c r="G221"/>
      <c r="H221"/>
    </row>
    <row r="222" spans="1:8" x14ac:dyDescent="0.3">
      <c r="A222"/>
      <c r="B222"/>
      <c r="C222"/>
      <c r="G222"/>
      <c r="H222"/>
    </row>
    <row r="223" spans="1:8" x14ac:dyDescent="0.3">
      <c r="A223"/>
      <c r="B223"/>
      <c r="C223"/>
      <c r="G223"/>
      <c r="H223"/>
    </row>
    <row r="224" spans="1:8" x14ac:dyDescent="0.3">
      <c r="A224"/>
      <c r="B224"/>
      <c r="C224"/>
      <c r="G224"/>
      <c r="H224"/>
    </row>
    <row r="225" spans="1:8" x14ac:dyDescent="0.3">
      <c r="A225"/>
      <c r="B225"/>
      <c r="C225"/>
      <c r="G225"/>
      <c r="H225"/>
    </row>
    <row r="226" spans="1:8" x14ac:dyDescent="0.3">
      <c r="A226"/>
      <c r="B226"/>
      <c r="C226"/>
      <c r="G226"/>
      <c r="H226"/>
    </row>
    <row r="227" spans="1:8" x14ac:dyDescent="0.3">
      <c r="A227"/>
      <c r="B227"/>
      <c r="C227"/>
      <c r="G227"/>
      <c r="H227"/>
    </row>
    <row r="228" spans="1:8" x14ac:dyDescent="0.3">
      <c r="A228"/>
      <c r="B228"/>
      <c r="C228"/>
      <c r="G228"/>
      <c r="H228"/>
    </row>
    <row r="229" spans="1:8" x14ac:dyDescent="0.3">
      <c r="A229"/>
      <c r="B229"/>
      <c r="C229"/>
      <c r="G229"/>
      <c r="H229"/>
    </row>
    <row r="230" spans="1:8" x14ac:dyDescent="0.3">
      <c r="A230"/>
      <c r="B230"/>
      <c r="C230"/>
      <c r="G230"/>
      <c r="H230"/>
    </row>
    <row r="231" spans="1:8" x14ac:dyDescent="0.3">
      <c r="A231"/>
      <c r="B231"/>
      <c r="C231"/>
      <c r="G231"/>
      <c r="H231"/>
    </row>
    <row r="232" spans="1:8" x14ac:dyDescent="0.3">
      <c r="A232"/>
      <c r="B232"/>
      <c r="C232"/>
      <c r="G232"/>
      <c r="H232"/>
    </row>
    <row r="233" spans="1:8" x14ac:dyDescent="0.3">
      <c r="A233"/>
      <c r="B233"/>
      <c r="C233"/>
      <c r="G233"/>
      <c r="H233"/>
    </row>
    <row r="234" spans="1:8" x14ac:dyDescent="0.3">
      <c r="A234"/>
      <c r="B234"/>
      <c r="C234"/>
      <c r="G234"/>
      <c r="H234"/>
    </row>
    <row r="235" spans="1:8" x14ac:dyDescent="0.3">
      <c r="A235"/>
      <c r="B235"/>
      <c r="C235"/>
      <c r="G235"/>
      <c r="H235"/>
    </row>
    <row r="236" spans="1:8" x14ac:dyDescent="0.3">
      <c r="A236"/>
      <c r="B236"/>
      <c r="C236"/>
      <c r="G236"/>
      <c r="H236"/>
    </row>
    <row r="237" spans="1:8" x14ac:dyDescent="0.3">
      <c r="A237"/>
      <c r="B237"/>
      <c r="C237"/>
      <c r="G237"/>
      <c r="H237"/>
    </row>
    <row r="238" spans="1:8" x14ac:dyDescent="0.3">
      <c r="A238"/>
      <c r="B238"/>
      <c r="C238"/>
      <c r="G238"/>
      <c r="H238"/>
    </row>
    <row r="239" spans="1:8" x14ac:dyDescent="0.3">
      <c r="A239"/>
      <c r="B239"/>
      <c r="C239"/>
      <c r="G239"/>
      <c r="H239"/>
    </row>
    <row r="240" spans="1:8" x14ac:dyDescent="0.3">
      <c r="A240"/>
      <c r="B240"/>
      <c r="C240"/>
      <c r="G240"/>
      <c r="H240"/>
    </row>
    <row r="241" spans="1:8" x14ac:dyDescent="0.3">
      <c r="A241"/>
      <c r="B241"/>
      <c r="C241"/>
      <c r="G241"/>
      <c r="H241"/>
    </row>
    <row r="242" spans="1:8" x14ac:dyDescent="0.3">
      <c r="A242"/>
      <c r="B242"/>
      <c r="C242"/>
      <c r="G242"/>
      <c r="H242"/>
    </row>
    <row r="243" spans="1:8" x14ac:dyDescent="0.3">
      <c r="A243"/>
      <c r="B243"/>
      <c r="C243"/>
      <c r="G243"/>
      <c r="H243"/>
    </row>
    <row r="244" spans="1:8" x14ac:dyDescent="0.3">
      <c r="A244"/>
      <c r="B244"/>
      <c r="C244"/>
      <c r="G244"/>
      <c r="H244"/>
    </row>
    <row r="245" spans="1:8" x14ac:dyDescent="0.3">
      <c r="A245"/>
      <c r="B245"/>
      <c r="C245"/>
      <c r="G245"/>
      <c r="H245"/>
    </row>
    <row r="246" spans="1:8" x14ac:dyDescent="0.3">
      <c r="A246"/>
      <c r="B246"/>
      <c r="C246"/>
      <c r="G246"/>
      <c r="H246"/>
    </row>
    <row r="247" spans="1:8" x14ac:dyDescent="0.3">
      <c r="A247"/>
      <c r="B247"/>
      <c r="C247"/>
      <c r="G247"/>
      <c r="H247"/>
    </row>
    <row r="248" spans="1:8" x14ac:dyDescent="0.3">
      <c r="A248"/>
      <c r="B248"/>
      <c r="C248"/>
      <c r="G248"/>
      <c r="H248"/>
    </row>
    <row r="249" spans="1:8" x14ac:dyDescent="0.3">
      <c r="A249"/>
      <c r="B249"/>
      <c r="C249"/>
      <c r="G249"/>
      <c r="H249"/>
    </row>
    <row r="250" spans="1:8" x14ac:dyDescent="0.3">
      <c r="A250"/>
      <c r="B250"/>
      <c r="C250"/>
      <c r="G250"/>
      <c r="H250"/>
    </row>
    <row r="251" spans="1:8" x14ac:dyDescent="0.3">
      <c r="A251"/>
      <c r="B251"/>
      <c r="C251"/>
      <c r="G251"/>
      <c r="H251"/>
    </row>
    <row r="252" spans="1:8" x14ac:dyDescent="0.3">
      <c r="A252"/>
      <c r="B252"/>
      <c r="C252"/>
      <c r="G252"/>
      <c r="H252"/>
    </row>
    <row r="253" spans="1:8" x14ac:dyDescent="0.3">
      <c r="A253"/>
      <c r="B253"/>
      <c r="C253"/>
      <c r="G253"/>
      <c r="H253"/>
    </row>
    <row r="254" spans="1:8" x14ac:dyDescent="0.3">
      <c r="A254"/>
      <c r="B254"/>
      <c r="C254"/>
      <c r="G254"/>
      <c r="H254"/>
    </row>
    <row r="255" spans="1:8" x14ac:dyDescent="0.3">
      <c r="A255"/>
      <c r="B255"/>
      <c r="C255"/>
      <c r="G255"/>
      <c r="H255"/>
    </row>
    <row r="256" spans="1:8" x14ac:dyDescent="0.3">
      <c r="A256"/>
      <c r="B256"/>
      <c r="C256"/>
      <c r="G256"/>
      <c r="H256"/>
    </row>
    <row r="257" spans="1:8" x14ac:dyDescent="0.3">
      <c r="A257"/>
      <c r="B257"/>
      <c r="C257"/>
      <c r="G257"/>
      <c r="H257"/>
    </row>
    <row r="258" spans="1:8" x14ac:dyDescent="0.3">
      <c r="A258"/>
      <c r="B258"/>
      <c r="C258"/>
      <c r="G258"/>
      <c r="H258"/>
    </row>
    <row r="259" spans="1:8" x14ac:dyDescent="0.3">
      <c r="A259"/>
      <c r="B259"/>
      <c r="C259"/>
      <c r="G259"/>
      <c r="H259"/>
    </row>
    <row r="260" spans="1:8" x14ac:dyDescent="0.3">
      <c r="A260"/>
      <c r="B260"/>
      <c r="C260"/>
      <c r="G260"/>
      <c r="H260"/>
    </row>
    <row r="261" spans="1:8" x14ac:dyDescent="0.3">
      <c r="A261"/>
      <c r="B261"/>
      <c r="C261"/>
      <c r="G261"/>
      <c r="H261"/>
    </row>
    <row r="262" spans="1:8" x14ac:dyDescent="0.3">
      <c r="A262"/>
      <c r="B262"/>
      <c r="C262"/>
      <c r="G262"/>
      <c r="H262"/>
    </row>
    <row r="263" spans="1:8" x14ac:dyDescent="0.3">
      <c r="A263"/>
      <c r="B263"/>
      <c r="C263"/>
      <c r="G263"/>
      <c r="H263"/>
    </row>
    <row r="264" spans="1:8" x14ac:dyDescent="0.3">
      <c r="A264"/>
      <c r="B264"/>
      <c r="C264"/>
      <c r="G264"/>
      <c r="H264"/>
    </row>
    <row r="265" spans="1:8" x14ac:dyDescent="0.3">
      <c r="A265"/>
      <c r="B265"/>
      <c r="C265"/>
      <c r="G265"/>
      <c r="H265"/>
    </row>
    <row r="266" spans="1:8" x14ac:dyDescent="0.3">
      <c r="A266"/>
      <c r="B266"/>
      <c r="C266"/>
      <c r="G266"/>
      <c r="H266"/>
    </row>
    <row r="267" spans="1:8" x14ac:dyDescent="0.3">
      <c r="A267"/>
      <c r="B267"/>
      <c r="C267"/>
      <c r="G267"/>
      <c r="H267"/>
    </row>
    <row r="268" spans="1:8" x14ac:dyDescent="0.3">
      <c r="A268"/>
      <c r="B268"/>
      <c r="C268"/>
      <c r="G268"/>
      <c r="H268"/>
    </row>
    <row r="269" spans="1:8" x14ac:dyDescent="0.3">
      <c r="A269"/>
      <c r="B269"/>
      <c r="C269"/>
      <c r="G269"/>
      <c r="H269"/>
    </row>
    <row r="270" spans="1:8" x14ac:dyDescent="0.3">
      <c r="A270"/>
      <c r="B270"/>
      <c r="C270"/>
      <c r="G270"/>
      <c r="H270"/>
    </row>
    <row r="271" spans="1:8" x14ac:dyDescent="0.3">
      <c r="A271"/>
      <c r="B271"/>
      <c r="C271"/>
      <c r="G271"/>
      <c r="H271"/>
    </row>
    <row r="272" spans="1:8" x14ac:dyDescent="0.3">
      <c r="A272"/>
      <c r="B272"/>
      <c r="C272"/>
      <c r="G272"/>
      <c r="H272"/>
    </row>
    <row r="273" spans="1:8" x14ac:dyDescent="0.3">
      <c r="A273"/>
      <c r="B273"/>
      <c r="C273"/>
      <c r="G273"/>
      <c r="H273"/>
    </row>
    <row r="274" spans="1:8" x14ac:dyDescent="0.3">
      <c r="A274"/>
      <c r="B274"/>
      <c r="C274"/>
      <c r="G274"/>
      <c r="H274"/>
    </row>
    <row r="275" spans="1:8" x14ac:dyDescent="0.3">
      <c r="A275"/>
      <c r="B275"/>
      <c r="C275"/>
      <c r="G275"/>
      <c r="H275"/>
    </row>
    <row r="276" spans="1:8" x14ac:dyDescent="0.3">
      <c r="A276"/>
      <c r="B276"/>
      <c r="C276"/>
      <c r="G276"/>
      <c r="H276"/>
    </row>
    <row r="277" spans="1:8" x14ac:dyDescent="0.3">
      <c r="A277"/>
      <c r="B277"/>
      <c r="C277"/>
      <c r="G277"/>
      <c r="H277"/>
    </row>
    <row r="278" spans="1:8" x14ac:dyDescent="0.3">
      <c r="A278"/>
      <c r="B278"/>
      <c r="C278"/>
      <c r="G278"/>
      <c r="H278"/>
    </row>
    <row r="279" spans="1:8" x14ac:dyDescent="0.3">
      <c r="A279"/>
      <c r="B279"/>
      <c r="C279"/>
      <c r="G279"/>
      <c r="H279"/>
    </row>
    <row r="280" spans="1:8" x14ac:dyDescent="0.3">
      <c r="A280"/>
      <c r="B280"/>
      <c r="C280"/>
      <c r="G280"/>
      <c r="H280"/>
    </row>
    <row r="281" spans="1:8" x14ac:dyDescent="0.3">
      <c r="A281"/>
      <c r="B281"/>
      <c r="C281"/>
      <c r="G281"/>
      <c r="H281"/>
    </row>
    <row r="282" spans="1:8" x14ac:dyDescent="0.3">
      <c r="A282"/>
      <c r="B282"/>
      <c r="C282"/>
      <c r="G282"/>
      <c r="H282"/>
    </row>
    <row r="283" spans="1:8" x14ac:dyDescent="0.3">
      <c r="A283"/>
      <c r="B283"/>
      <c r="C283"/>
      <c r="G283"/>
      <c r="H283"/>
    </row>
    <row r="284" spans="1:8" x14ac:dyDescent="0.3">
      <c r="G284"/>
      <c r="H284"/>
    </row>
    <row r="285" spans="1:8" x14ac:dyDescent="0.3">
      <c r="G285"/>
      <c r="H285"/>
    </row>
    <row r="286" spans="1:8" x14ac:dyDescent="0.3">
      <c r="G286"/>
      <c r="H286"/>
    </row>
    <row r="287" spans="1:8" x14ac:dyDescent="0.3">
      <c r="G287"/>
      <c r="H287"/>
    </row>
    <row r="288" spans="1:8" x14ac:dyDescent="0.3">
      <c r="G288"/>
      <c r="H288"/>
    </row>
    <row r="289" spans="7:8" x14ac:dyDescent="0.3">
      <c r="G289"/>
      <c r="H289"/>
    </row>
    <row r="290" spans="7:8" x14ac:dyDescent="0.3">
      <c r="G290"/>
      <c r="H290"/>
    </row>
  </sheetData>
  <mergeCells count="1">
    <mergeCell ref="A1:B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75FA0-4E93-4BA9-83EB-990DAD76556B}">
  <dimension ref="A1:C48"/>
  <sheetViews>
    <sheetView zoomScale="115" zoomScaleNormal="115" workbookViewId="0">
      <selection activeCell="H13" sqref="H13"/>
    </sheetView>
  </sheetViews>
  <sheetFormatPr defaultRowHeight="14.4" x14ac:dyDescent="0.3"/>
  <cols>
    <col min="1" max="1" width="20.88671875" style="6" bestFit="1" customWidth="1"/>
    <col min="2" max="2" width="18.21875" style="6" bestFit="1" customWidth="1"/>
    <col min="3" max="3" width="16.21875" style="6" bestFit="1" customWidth="1"/>
    <col min="4" max="7" width="8.88671875" style="6"/>
    <col min="8" max="8" width="12.21875" style="6" bestFit="1" customWidth="1"/>
    <col min="9" max="9" width="4.109375" style="6" bestFit="1" customWidth="1"/>
    <col min="10" max="16384" width="8.88671875" style="6"/>
  </cols>
  <sheetData>
    <row r="1" spans="1:3" x14ac:dyDescent="0.3">
      <c r="A1" s="28" t="s">
        <v>477</v>
      </c>
      <c r="B1" s="28"/>
    </row>
    <row r="2" spans="1:3" x14ac:dyDescent="0.3">
      <c r="A2" s="28"/>
      <c r="B2" s="28"/>
    </row>
    <row r="3" spans="1:3" x14ac:dyDescent="0.3">
      <c r="A3" s="21" t="s">
        <v>11</v>
      </c>
      <c r="B3" s="21" t="s">
        <v>7</v>
      </c>
      <c r="C3" s="6" t="s">
        <v>478</v>
      </c>
    </row>
    <row r="4" spans="1:3" x14ac:dyDescent="0.3">
      <c r="A4" s="6" t="s">
        <v>22</v>
      </c>
      <c r="B4" s="6" t="s">
        <v>34</v>
      </c>
      <c r="C4" s="6">
        <v>11</v>
      </c>
    </row>
    <row r="5" spans="1:3" x14ac:dyDescent="0.3">
      <c r="B5" s="6" t="s">
        <v>47</v>
      </c>
      <c r="C5" s="6">
        <v>11</v>
      </c>
    </row>
    <row r="6" spans="1:3" x14ac:dyDescent="0.3">
      <c r="B6" s="6" t="s">
        <v>83</v>
      </c>
      <c r="C6" s="6">
        <v>9</v>
      </c>
    </row>
    <row r="7" spans="1:3" x14ac:dyDescent="0.3">
      <c r="B7" s="6" t="s">
        <v>108</v>
      </c>
      <c r="C7" s="6">
        <v>9</v>
      </c>
    </row>
    <row r="8" spans="1:3" x14ac:dyDescent="0.3">
      <c r="B8" s="6" t="s">
        <v>129</v>
      </c>
      <c r="C8" s="6">
        <v>8</v>
      </c>
    </row>
    <row r="9" spans="1:3" x14ac:dyDescent="0.3">
      <c r="B9" s="6" t="s">
        <v>20</v>
      </c>
      <c r="C9" s="6">
        <v>6</v>
      </c>
    </row>
    <row r="10" spans="1:3" x14ac:dyDescent="0.3">
      <c r="B10" s="6" t="s">
        <v>117</v>
      </c>
      <c r="C10" s="6">
        <v>6</v>
      </c>
    </row>
    <row r="11" spans="1:3" x14ac:dyDescent="0.3">
      <c r="B11" s="6" t="s">
        <v>120</v>
      </c>
      <c r="C11" s="6">
        <v>6</v>
      </c>
    </row>
    <row r="12" spans="1:3" x14ac:dyDescent="0.3">
      <c r="B12" s="6" t="s">
        <v>55</v>
      </c>
      <c r="C12" s="6">
        <v>6</v>
      </c>
    </row>
    <row r="13" spans="1:3" x14ac:dyDescent="0.3">
      <c r="B13" s="6" t="s">
        <v>64</v>
      </c>
      <c r="C13" s="6">
        <v>4</v>
      </c>
    </row>
    <row r="14" spans="1:3" x14ac:dyDescent="0.3">
      <c r="A14" s="6" t="s">
        <v>470</v>
      </c>
      <c r="C14" s="6">
        <v>76</v>
      </c>
    </row>
    <row r="15" spans="1:3" x14ac:dyDescent="0.3">
      <c r="A15" s="6" t="s">
        <v>28</v>
      </c>
      <c r="B15" s="6" t="s">
        <v>20</v>
      </c>
      <c r="C15" s="6">
        <v>12</v>
      </c>
    </row>
    <row r="16" spans="1:3" x14ac:dyDescent="0.3">
      <c r="B16" s="6" t="s">
        <v>120</v>
      </c>
      <c r="C16" s="6">
        <v>11</v>
      </c>
    </row>
    <row r="17" spans="1:3" x14ac:dyDescent="0.3">
      <c r="B17" s="6" t="s">
        <v>108</v>
      </c>
      <c r="C17" s="6">
        <v>10</v>
      </c>
    </row>
    <row r="18" spans="1:3" x14ac:dyDescent="0.3">
      <c r="B18" s="6" t="s">
        <v>47</v>
      </c>
      <c r="C18" s="6">
        <v>9</v>
      </c>
    </row>
    <row r="19" spans="1:3" x14ac:dyDescent="0.3">
      <c r="B19" s="6" t="s">
        <v>83</v>
      </c>
      <c r="C19" s="6">
        <v>7</v>
      </c>
    </row>
    <row r="20" spans="1:3" x14ac:dyDescent="0.3">
      <c r="B20" s="6" t="s">
        <v>64</v>
      </c>
      <c r="C20" s="6">
        <v>6</v>
      </c>
    </row>
    <row r="21" spans="1:3" x14ac:dyDescent="0.3">
      <c r="B21" s="6" t="s">
        <v>34</v>
      </c>
      <c r="C21" s="6">
        <v>5</v>
      </c>
    </row>
    <row r="22" spans="1:3" x14ac:dyDescent="0.3">
      <c r="B22" s="6" t="s">
        <v>117</v>
      </c>
      <c r="C22" s="6">
        <v>3</v>
      </c>
    </row>
    <row r="23" spans="1:3" x14ac:dyDescent="0.3">
      <c r="B23" s="6" t="s">
        <v>55</v>
      </c>
      <c r="C23" s="6">
        <v>3</v>
      </c>
    </row>
    <row r="24" spans="1:3" x14ac:dyDescent="0.3">
      <c r="B24" s="6" t="s">
        <v>129</v>
      </c>
      <c r="C24" s="6">
        <v>2</v>
      </c>
    </row>
    <row r="25" spans="1:3" x14ac:dyDescent="0.3">
      <c r="A25" s="6" t="s">
        <v>468</v>
      </c>
      <c r="C25" s="6">
        <v>68</v>
      </c>
    </row>
    <row r="26" spans="1:3" x14ac:dyDescent="0.3">
      <c r="A26" s="6" t="s">
        <v>59</v>
      </c>
      <c r="B26" s="6" t="s">
        <v>34</v>
      </c>
      <c r="C26" s="6">
        <v>10</v>
      </c>
    </row>
    <row r="27" spans="1:3" x14ac:dyDescent="0.3">
      <c r="B27" s="6" t="s">
        <v>120</v>
      </c>
      <c r="C27" s="6">
        <v>9</v>
      </c>
    </row>
    <row r="28" spans="1:3" x14ac:dyDescent="0.3">
      <c r="B28" s="6" t="s">
        <v>64</v>
      </c>
      <c r="C28" s="6">
        <v>6</v>
      </c>
    </row>
    <row r="29" spans="1:3" x14ac:dyDescent="0.3">
      <c r="B29" s="6" t="s">
        <v>47</v>
      </c>
      <c r="C29" s="6">
        <v>6</v>
      </c>
    </row>
    <row r="30" spans="1:3" x14ac:dyDescent="0.3">
      <c r="B30" s="6" t="s">
        <v>83</v>
      </c>
      <c r="C30" s="6">
        <v>6</v>
      </c>
    </row>
    <row r="31" spans="1:3" x14ac:dyDescent="0.3">
      <c r="B31" s="6" t="s">
        <v>129</v>
      </c>
      <c r="C31" s="6">
        <v>4</v>
      </c>
    </row>
    <row r="32" spans="1:3" x14ac:dyDescent="0.3">
      <c r="B32" s="6" t="s">
        <v>108</v>
      </c>
      <c r="C32" s="6">
        <v>4</v>
      </c>
    </row>
    <row r="33" spans="1:3" x14ac:dyDescent="0.3">
      <c r="B33" s="6" t="s">
        <v>20</v>
      </c>
      <c r="C33" s="6">
        <v>3</v>
      </c>
    </row>
    <row r="34" spans="1:3" x14ac:dyDescent="0.3">
      <c r="B34" s="6" t="s">
        <v>117</v>
      </c>
      <c r="C34" s="6">
        <v>3</v>
      </c>
    </row>
    <row r="35" spans="1:3" x14ac:dyDescent="0.3">
      <c r="B35" s="6" t="s">
        <v>55</v>
      </c>
      <c r="C35" s="6">
        <v>3</v>
      </c>
    </row>
    <row r="36" spans="1:3" x14ac:dyDescent="0.3">
      <c r="A36" s="6" t="s">
        <v>471</v>
      </c>
      <c r="C36" s="6">
        <v>54</v>
      </c>
    </row>
    <row r="37" spans="1:3" x14ac:dyDescent="0.3">
      <c r="A37" s="6" t="s">
        <v>36</v>
      </c>
      <c r="B37" s="6" t="s">
        <v>83</v>
      </c>
      <c r="C37" s="6">
        <v>9</v>
      </c>
    </row>
    <row r="38" spans="1:3" x14ac:dyDescent="0.3">
      <c r="B38" s="6" t="s">
        <v>47</v>
      </c>
      <c r="C38" s="6">
        <v>9</v>
      </c>
    </row>
    <row r="39" spans="1:3" x14ac:dyDescent="0.3">
      <c r="B39" s="6" t="s">
        <v>64</v>
      </c>
      <c r="C39" s="6">
        <v>8</v>
      </c>
    </row>
    <row r="40" spans="1:3" x14ac:dyDescent="0.3">
      <c r="B40" s="6" t="s">
        <v>120</v>
      </c>
      <c r="C40" s="6">
        <v>8</v>
      </c>
    </row>
    <row r="41" spans="1:3" x14ac:dyDescent="0.3">
      <c r="B41" s="6" t="s">
        <v>20</v>
      </c>
      <c r="C41" s="6">
        <v>5</v>
      </c>
    </row>
    <row r="42" spans="1:3" x14ac:dyDescent="0.3">
      <c r="B42" s="6" t="s">
        <v>55</v>
      </c>
      <c r="C42" s="6">
        <v>4</v>
      </c>
    </row>
    <row r="43" spans="1:3" x14ac:dyDescent="0.3">
      <c r="B43" s="6" t="s">
        <v>108</v>
      </c>
      <c r="C43" s="6">
        <v>3</v>
      </c>
    </row>
    <row r="44" spans="1:3" x14ac:dyDescent="0.3">
      <c r="B44" s="6" t="s">
        <v>34</v>
      </c>
      <c r="C44" s="6">
        <v>3</v>
      </c>
    </row>
    <row r="45" spans="1:3" x14ac:dyDescent="0.3">
      <c r="B45" s="6" t="s">
        <v>117</v>
      </c>
      <c r="C45" s="6">
        <v>2</v>
      </c>
    </row>
    <row r="46" spans="1:3" x14ac:dyDescent="0.3">
      <c r="B46" s="6" t="s">
        <v>129</v>
      </c>
      <c r="C46" s="6">
        <v>1</v>
      </c>
    </row>
    <row r="47" spans="1:3" x14ac:dyDescent="0.3">
      <c r="A47" s="6" t="s">
        <v>469</v>
      </c>
      <c r="C47" s="6">
        <v>52</v>
      </c>
    </row>
    <row r="48" spans="1:3" x14ac:dyDescent="0.3">
      <c r="A48" s="6" t="s">
        <v>442</v>
      </c>
      <c r="C48" s="6">
        <v>250</v>
      </c>
    </row>
  </sheetData>
  <mergeCells count="1">
    <mergeCell ref="A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Project Instructions</vt:lpstr>
      <vt:lpstr>Final Project Dataset</vt:lpstr>
      <vt:lpstr>Analysis</vt:lpstr>
      <vt:lpstr>Total Revenue Charts</vt:lpstr>
      <vt:lpstr>Top Customers Charts</vt:lpstr>
      <vt:lpstr>Most Sold Products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Patel Sarju</cp:lastModifiedBy>
  <dcterms:modified xsi:type="dcterms:W3CDTF">2025-04-23T11:42:30Z</dcterms:modified>
</cp:coreProperties>
</file>